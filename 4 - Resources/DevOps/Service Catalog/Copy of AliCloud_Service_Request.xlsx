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luruilr/Library/CloudStorage/OneDrive-Manulife/Desktop/"/>
    </mc:Choice>
  </mc:AlternateContent>
  <xr:revisionPtr revIDLastSave="0" documentId="8_{358DE1B4-212F-094A-AEED-7A357D78AE61}" xr6:coauthVersionLast="47" xr6:coauthVersionMax="47" xr10:uidLastSave="{00000000-0000-0000-0000-000000000000}"/>
  <bookViews>
    <workbookView xWindow="4800" yWindow="2400" windowWidth="28800" windowHeight="17400" xr2:uid="{0655A011-1BB9-4F83-BF8F-4F945FF5B59C}"/>
  </bookViews>
  <sheets>
    <sheet name="HK Project List-27 Nov (New)" sheetId="21" r:id="rId1"/>
    <sheet name="Inflight Project" sheetId="14" r:id="rId2"/>
    <sheet name="(old)HK Project List-9 Oct(R2)" sheetId="19" r:id="rId3"/>
    <sheet name="(old)HK Project List - 27 Nov" sheetId="18" r:id="rId4"/>
    <sheet name="(old)HK Project List-22Sep" sheetId="15" r:id="rId5"/>
    <sheet name="CHG" sheetId="20" r:id="rId6"/>
    <sheet name="HK Project List - 24 Sep" sheetId="16" state="hidden" r:id="rId7"/>
    <sheet name="Change Request - In Queue" sheetId="3" state="hidden" r:id="rId8"/>
    <sheet name="User Access Request" sheetId="1" state="hidden" r:id="rId9"/>
    <sheet name="HK Project by AliCloud Services" sheetId="17" r:id="rId10"/>
    <sheet name="Ali Cloud Service" sheetId="6" r:id="rId11"/>
    <sheet name="Followup" sheetId="2" r:id="rId12"/>
    <sheet name="Firewall" sheetId="12" r:id="rId13"/>
    <sheet name="THR(OLD)" sheetId="10" state="hidden" r:id="rId14"/>
    <sheet name="THR" sheetId="4" r:id="rId15"/>
    <sheet name="AliCloud_Azure_mapping" sheetId="22" r:id="rId16"/>
    <sheet name="Agile" sheetId="8" state="hidden" r:id="rId17"/>
    <sheet name="GCR_Global Standard" sheetId="5" state="hidden" r:id="rId18"/>
    <sheet name="BAU" sheetId="7" state="hidden" r:id="rId19"/>
    <sheet name="IRA" sheetId="11" state="hidden" r:id="rId20"/>
  </sheets>
  <definedNames>
    <definedName name="_xlnm._FilterDatabase" localSheetId="3" hidden="1">'(old)HK Project List - 27 Nov'!$A$2:$Y$24</definedName>
    <definedName name="_xlnm._FilterDatabase" localSheetId="2" hidden="1">'(old)HK Project List-9 Oct(R2)'!$A$2:$Y$16</definedName>
    <definedName name="_xlnm._FilterDatabase" localSheetId="10" hidden="1">'Ali Cloud Service'!$A$1:$U$52</definedName>
    <definedName name="_xlnm._FilterDatabase" localSheetId="15" hidden="1">AliCloud_Azure_mapping!$B$1:$D$44</definedName>
    <definedName name="_xlnm._FilterDatabase" localSheetId="12" hidden="1">Firewall!$A$1:$H$101</definedName>
    <definedName name="_xlnm._FilterDatabase" localSheetId="9" hidden="1">'HK Project by AliCloud Services'!$A$1:$G$54</definedName>
    <definedName name="_xlnm._FilterDatabase" localSheetId="6" hidden="1">'HK Project List - 24 Sep'!$A$2:$V$16</definedName>
    <definedName name="_xlnm._FilterDatabase" localSheetId="0" hidden="1">'HK Project List-27 Nov (New)'!$A$2:$AN$51</definedName>
    <definedName name="_xlnm._FilterDatabase" localSheetId="14" hidden="1">THR!$A$1:$E$1</definedName>
    <definedName name="_xlnm._FilterDatabase" localSheetId="8" hidden="1">'User Access Request'!$A$1:$L$37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 i="21" l="1"/>
  <c r="X16" i="21"/>
  <c r="V17" i="21"/>
  <c r="T17" i="21"/>
  <c r="R17" i="21"/>
  <c r="R16" i="21"/>
  <c r="S2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tc={9A72E27A-C7A2-4E73-A038-A5D2C7449A85}</author>
    <author>tc={2EF8B408-BEE9-4502-A83E-C938439BF178}</author>
  </authors>
  <commentList>
    <comment ref="H2" authorId="0" shapeId="0" xr:uid="{9A72E27A-C7A2-4E73-A038-A5D2C7449A85}">
      <text>
        <t>[Threaded comment]
Your version of Excel allows you to read this threaded comment; however, any edits to it will get removed if the file is opened in a newer version of Excel. Learn more: https://go.microsoft.com/fwlink/?linkid=870924
Comment:
    Qwen3-Max needed as well</t>
      </text>
    </comment>
    <comment ref="H27" authorId="1" shapeId="0" xr:uid="{2EF8B408-BEE9-4502-A83E-C938439BF178}">
      <text>
        <t>[Threaded comment]
Your version of Excel allows you to read this threaded comment; however, any edits to it will get removed if the file is opened in a newer version of Excel. Learn more: https://go.microsoft.com/fwlink/?linkid=870924
Comment:
    AnalyticDB for PostgreSQL</t>
      </text>
    </comment>
  </commentList>
</comments>
</file>

<file path=xl/sharedStrings.xml><?xml version="1.0" encoding="utf-8"?>
<sst xmlns="http://schemas.openxmlformats.org/spreadsheetml/2006/main" count="6413" uniqueCount="1331">
  <si>
    <r>
      <rPr>
        <sz val="10"/>
        <color rgb="FF000000"/>
        <rFont val="Aptos Narrow"/>
      </rPr>
      <t>Updated as at:</t>
    </r>
    <r>
      <rPr>
        <b/>
        <sz val="10"/>
        <color rgb="FFFF0000"/>
        <rFont val="Aptos Narrow"/>
      </rPr>
      <t xml:space="preserve"> 8 May 26</t>
    </r>
  </si>
  <si>
    <t>Intake Management</t>
  </si>
  <si>
    <t>Platform Expected Timeline</t>
  </si>
  <si>
    <t>Target Lauch</t>
  </si>
  <si>
    <t> </t>
  </si>
  <si>
    <t>#</t>
  </si>
  <si>
    <t>Project</t>
  </si>
  <si>
    <t>Project Code</t>
  </si>
  <si>
    <t>CI #</t>
  </si>
  <si>
    <t>HK IT Lead</t>
  </si>
  <si>
    <t>CD IT Lead</t>
  </si>
  <si>
    <t>Program Lead/
PM</t>
  </si>
  <si>
    <t>New Application (Y) /
Project (N)</t>
  </si>
  <si>
    <t>Request Submission to ETS</t>
  </si>
  <si>
    <t>Estinated Ali Resource</t>
  </si>
  <si>
    <t>ARB Review</t>
  </si>
  <si>
    <t>IRM Review</t>
  </si>
  <si>
    <t>ETS Review</t>
  </si>
  <si>
    <t>Change Management</t>
  </si>
  <si>
    <t>AliCloud DEV Approved</t>
  </si>
  <si>
    <t>DEV</t>
  </si>
  <si>
    <t>ETS Target  Delivery (Provided by ETS)
DEV</t>
  </si>
  <si>
    <t>SIT</t>
  </si>
  <si>
    <t>ETS Target  Delivery (Provided by ETS)
SIT</t>
  </si>
  <si>
    <t>UAT</t>
  </si>
  <si>
    <t>ETS Target  Delivery (Provided by ETS)
UAT</t>
  </si>
  <si>
    <t>PROD
/DR</t>
  </si>
  <si>
    <t>ETS Target  Delivery (Provided by ETS)
PRD</t>
  </si>
  <si>
    <t>Tech Launch</t>
  </si>
  <si>
    <t>Business Go-Live</t>
  </si>
  <si>
    <t>Update</t>
  </si>
  <si>
    <t>Risk</t>
  </si>
  <si>
    <t>Remarks</t>
  </si>
  <si>
    <t>UAT Signoff Date</t>
  </si>
  <si>
    <t>Provided PRD IP</t>
  </si>
  <si>
    <t>ARB</t>
  </si>
  <si>
    <t>AI</t>
  </si>
  <si>
    <t>PII Data/PRD Data</t>
  </si>
  <si>
    <t>FrontEnd in Azure? (yes/no)</t>
  </si>
  <si>
    <t>Customer facing
(Customer authentication)/Internet presence</t>
  </si>
  <si>
    <t>AliCloud internet</t>
  </si>
  <si>
    <t>Large number of internal users</t>
  </si>
  <si>
    <t>Insurance agent facing
(MCF Authentication)(Azure ADO)</t>
  </si>
  <si>
    <t>UAT Readines for PRD Gol ive</t>
  </si>
  <si>
    <t>GCS</t>
  </si>
  <si>
    <t>Quantum - JARVIS</t>
  </si>
  <si>
    <t>Jerry</t>
  </si>
  <si>
    <t> Darren Du</t>
  </si>
  <si>
    <t>Janelle/
Cynthia</t>
  </si>
  <si>
    <t>Y</t>
  </si>
  <si>
    <t>Completed</t>
  </si>
  <si>
    <t>13-Nov: Louis to send us CI to check if included for AliCloud</t>
  </si>
  <si>
    <t>Distribution Compensation System (DCS) revamp</t>
  </si>
  <si>
    <t>Theresa</t>
  </si>
  <si>
    <t> Lamar Wei</t>
  </si>
  <si>
    <t>Janelle/
Kelvin</t>
  </si>
  <si>
    <r>
      <t xml:space="preserve">28-Jan-26
</t>
    </r>
    <r>
      <rPr>
        <strike/>
        <sz val="10"/>
        <color theme="1" tint="0.34998626667073579"/>
        <rFont val="Aptos Narrow"/>
        <scheme val="minor"/>
      </rPr>
      <t>1/17/2026</t>
    </r>
  </si>
  <si>
    <r>
      <t>5-Feb: DR will peform at 6-Feb
3 Feb: DCS DR drill on 6 Feb. Full backup starting  5:30pm. Drill target to start after 6pm - Monique/Gary.
29-Jan: 7-Feb or 14-Feb for DR
22-Jan:
Container scan might have issue
Sunny will provide BUSO report
IRA report - Edison
DB go live procedure -restore Db dump provided by vendor(required by Jeff) and program(by apps)
access to PRD DB from DMS(via portable) to check data(access right should not download data)(DMS should not retreive DB)(</t>
    </r>
    <r>
      <rPr>
        <b/>
        <sz val="10"/>
        <color theme="1" tint="0.34998626667073579"/>
        <rFont val="Aptos Narrow"/>
        <scheme val="minor"/>
      </rPr>
      <t>This is just to read data only</t>
    </r>
    <r>
      <rPr>
        <sz val="10"/>
        <color theme="1" tint="0.34998626667073579"/>
        <rFont val="Aptos Narrow"/>
        <scheme val="minor"/>
      </rPr>
      <t>)
20-Jan:
ETS-IRA: Vendor fixed docker image and IRA report is not fully approved(Go live plan: will raise issue and CAP esp Redhat)
PII data for this release(pls get approval from Laura)
Prisma scan
Addtinal node for DCS is done
15-Jan:
CSPM - 35 high issues to fix
To fix all medium+ issue or else it cant be go live *if some medium got exception for 90 days, it will be good
13-Jan:
DR design - to be discussed(Lamer\Theresa to provide PRD design)(2 days for ACK change for DCS)
2 Jan:
DAST retest target 5 Jan.
23 Dec:
UAT sign-off: target 23 Dec. CSPM testing can be initiated.
18 Dec:
Pentest: No medium &amp; higher issue found. UAT testing started. Target DR test: 17 Jan.
16-Dec:
UAT starts pent test
deployment issue in DEV env - resource shared with Jarvis and limited now (devops team is checking)
9-Dec:
DAST scan is not yet completed
Go Live date TBC
4-Dec:
Schedule a DAST scanning in this afternoon(Lamer and will ask Firewall)
3-Dec:
DAST server name or IP
2-Dec:
DAST scanning could not be started now and working on the issue(Derek and Lamer)
UAT testing start in next week
Might postpone for 1 week 11-Jan or 17-Jan(To be confirmed with business)
DB enquiry - AliCloud to RDS from laptop(required by Apps)
27-Nov:
Request PRD vendor access on monitoring and logging (Aubrey to review)
DB encryption can be enable by apps team(WIP)
PostgreSQL - pgcrypto — cryptographic functions 
25Nov:
Vendor puts KMS on dev and testing.
PRD support on db access - ODS (Lamer to discuss with Jeff)
20Nov: 
DR test review meeting(Sunny)
18-Nov: project schedule posptoned to 4-Jan. 28-Dec is the tech luanch. DR at 20-Dec(19-Dec signoff by business owner). 
SIT testing is in progress and UAT test will be started at 2-Dec.
KMS issue is resolved(no major issue)
SSL is still not resolved
13-Nov:
Provided solution to vendor and how it will be hanlded with KMS(WIP)(Lamer)(ETA: TBC)
11-Nov:
Under SIT and working on fixing issue(Theresa)
Length of KMS and working with vendor on docker file to fix the issue(Lamar)
DR for DCS might need downtime from Jarvis(Theresa)</t>
    </r>
  </si>
  <si>
    <t>SSL connection will need to enable(still testing)</t>
  </si>
  <si>
    <t xml:space="preserve"> move PRD From 12/13/2025 to 01/04/2026
Tech launch from 6-Dec to 28-Dec</t>
  </si>
  <si>
    <t>CHG01285886
 from: 21:00 24-Jan to 21:00 27-Jan</t>
  </si>
  <si>
    <t>No</t>
  </si>
  <si>
    <t xml:space="preserve">PII: No 
PRD: Yes </t>
  </si>
  <si>
    <t>1) Not signed UAT
2) Not fully THR\CSPM(depends on 1)</t>
  </si>
  <si>
    <t>Approved</t>
  </si>
  <si>
    <t>IDP Solution</t>
  </si>
  <si>
    <t>Jason Chan (Innovation)</t>
  </si>
  <si>
    <t>Jakey Wu</t>
  </si>
  <si>
    <t>Barry Cheung</t>
  </si>
  <si>
    <t>22-Jan:
BUSO approval?
IRA report
15-Jan:
Tech Launach is tomorrow and is clean
13-Jan:
UAT approval work is WIP
No major risk
2 Jan:
Complete DAST asap.
16-Dec:
Runned DAST scan in 16-Dec and pass
AI should be approved by this Friday(Jonah &amp; Edward)
After approved AI-VL on Friday, we can enable DEV,SIT, UAT on next Monday while THR on UAT
11-Dec:
AI to submit evalation in this week
Pent test at 2-Jan
DAST scan at 15-Dec
DR test can be planned within 30days after go live
9-Dec:
ARB presented and approved
VL(AI) approval is still in progress
Qwen3-max on UAT
4-Dec:
No ETA for AI approval(Jason - Jonah)
No AI guardrail is required(Winnie\Sunny\Ken\Jamie - Issue and CAP)
ARB Monday is to add Qwen3-Max(Joson)
3-Dec:
Add Qwen3-max on ARB at 8-Dec
AI Guardrail will review required or not at 4-Dec
2-Dec:
UAT signoff at yesterday without AI test(conditional signoff without AI)
27-Nov:
KMS working in UAT
Rocket MQ is unstable(50% failure and 50% success)(Followup with Jakey\Jeff\Darren)
AI approval(No update)
AI protection(There is a test )
25-Nov:
KMS on UAT is working
Rocket MQ is still not connected(WIP)(Alan can help to troubleshoot)
LLM is still under approval(Jonah)
21-Nov:
No update on Jonah and Edward on the status update on AI approval as it will affect UAT testing(Jason\Yeap)
- No ADB is using on IDP(Jason to confirm with Jonah\AA)*ADB has embeedded AI
- UAT testing KMS and Rocket MQ testing in progress e.g. firewall(Rabbit changes to Rocket)
- For hardening, it will be CSPM
18-Nov:
Under UAT testing. KMS firewall is still WIP(Jeff and Jason to work together) . Rabbit MQ access issue(Alibaba team to help for alternative way), New AI approval(Working with AA in this afternoon). Core service needs DR(ACK has active-active design in AliCloud - Jason prepares a DR test plan)
13-Nov
qwen3-vl-plus, qwen-vl-max, qwen-vl-max-0813, qwen3-vl-plus-2025-09-23 required in AliCloud(Jakey and Jason confirms required)(These AI is not approved - Jason is working on approval with Roy/Jonah)
to verify UAT env tomorrow and firewall is pending to open(Jakey)</t>
  </si>
  <si>
    <t>- New AI not approved to use - qwen3-vl-plus, qwen-vl-max, qwen-vl-max-0813, qwen3-vl-plus-2025-09-23(AA and ADO team is working on approval)
- AI protection</t>
  </si>
  <si>
    <t>Conditional signoff at 1-Dec by Jason.
- without AI as AI is not approved at this moment
Decision
- To confirm if we could proceed PRD setup and provide IP for firewall opening</t>
  </si>
  <si>
    <t>CHG01280780
from 10:00 23-Jan to 23:00 23-Jan</t>
  </si>
  <si>
    <t>Yes</t>
  </si>
  <si>
    <t>PII: Yes
PRD: Yes
Data: AliCloud(MongoDB)</t>
  </si>
  <si>
    <t>1) Not signed UAT
2) Not fully THR\CSPM(depends on 1)
3) AI not approved</t>
  </si>
  <si>
    <t>NBUW/FUW (Future Underwriting Blueprint) | GenAI Powered-up Underwriting (For AA Team)</t>
  </si>
  <si>
    <t>Charles Ngo</t>
  </si>
  <si>
    <t>Jeremy Wu/Bill Fu</t>
  </si>
  <si>
    <t>Edward/John Pang</t>
  </si>
  <si>
    <t xml:space="preserve">22-Jan:
BUSO approval?
IRA report? 
13-Jan:
Tech launch at 17-Jan
23 Dec:
E2E started. PROD env: Jeff to confirm.
18 Dec:
UAT signed-off on 16 Dec. Proceed with PROD provision.
9-Dec:
&lt;no update&gt;
4-Dec:
-
27-Nov:
Approved Embedded is enable
25-Nov:
ADB approval is required on ADB-AI embedded(Every Monday on ARB meeting)(Harry\Jamie)
20-Nov:
Jonah confirmed ADB-AI embedded is not on playbook and yet to confirm(Jonah\Charles)
18-Nov:
Qwen 2.0 setup at UAT. ADB-AI model requests approval
13-Nov:
qwen3-vl-plus, qwen-vl-max, qwen-vl-max-0813, qwen3-vl-plus-2025-09-23 are not required(Charles)
Qwen3.0 is required only(Charles)
ADB - AI search is required(Charles)(Jeremey is contact point of AA team)(To discuss with Sunny)
11-Nov:
UAT: ADB &amp; ADBAI part, we don't have security approval for it. Need Yunnie Yin approval for this into UAT &amp; PRD
*Cloud Flow will be ready at AliCloud-HK at 20-Nov
</t>
  </si>
  <si>
    <t>ADB with embedded and revamped Qwen-3 and medical(DEV\SIT , apps can enable AI embedded)</t>
  </si>
  <si>
    <t>New AI not approved to use - qwen3-vl-plus, qwen-vl-max, qwen-vl-max-0813, qwen3-vl-plus-2025-09-23(Apps team is working on approval) ] - not required</t>
  </si>
  <si>
    <t>CHG01286225
from 00:00 25-Jan to 10:00 25-Jan</t>
  </si>
  <si>
    <t>PII: No
PRD: Yes
Data: AliCloud(ADB)</t>
  </si>
  <si>
    <t>NBUW/FUW (Future Underwriting Blueprint) | One Single View NBUW Platform</t>
  </si>
  <si>
    <t> Jenny He / Aden</t>
  </si>
  <si>
    <t>Edward/
Cayden</t>
  </si>
  <si>
    <t>01-Sep-25 (SDR2)</t>
  </si>
  <si>
    <t xml:space="preserve">2 Jan:
To confirm PROD env &amp; post-implementation scheduled 9pm-3 Jan.
23 Dec:
All test completed. PROD env ready. Waiting for CAP confirmation.
18 Dec:
DR test: 17 Jan. Tech launched. All scans completed.
16-Dec:
Cloudflow has THR completed
APPS-IRA-Signoff is WIP(includes Code, DAST, Pent Test)
GCS signoff?
11-Dec:
Qualys is done
Appsscan is done
CSPM/THR is done
DLP: update
9-Dec:
To provide PRD IP
4-Dec:
UAT is on track
3-Dec:
target to have UAT on Monday
Go live data to be cofirmed
27-Nov:
CloudFlow is enable(WIP)
25-Nov:
CloudFlow did the hardening and waiting for IRA to confirm to release
20-Nov:
Cloud flow is setup at HK and setup at DEV waiting IRA to review
18-Nov:
Waiting for Cloud flow(To confirm Dongmei approval first before 20-Nov)
13-Nov:
Cloud flow should be ready at 20-Nov and ETS ready at 26-Nov
Tech launch at 2-Nov without cloudflow at PRD now(no AliCloud)
6 Nov: Exception will be secured for 3 Jan '26 Go-Live.
Sep: engaged ETS and Ali in Q2 (before excel kicks-in);
excel request submit date: 30-Jul-26.
</t>
  </si>
  <si>
    <t>Cloudflow is not ready at AliCloud HK until 20-Nov
Go Live date at 3-Jan(change freeze)</t>
  </si>
  <si>
    <t>10 Nov: CloudFlow SG
20 Nov: CloudFlow HK will be available &amp; target service enable in FUW UAT on 27 Nov.</t>
  </si>
  <si>
    <t>Signoff of final apps release at 8-Dec by Charles Ngo</t>
  </si>
  <si>
    <t>WIP</t>
  </si>
  <si>
    <t>PII: No
PRD: Yes
Log: Yes
Data: Azure</t>
  </si>
  <si>
    <t>Replatform Marketing Campaign System (Leads Generation) - LEAD</t>
  </si>
  <si>
    <t xml:space="preserve">Vincent Kong (LEAD) </t>
  </si>
  <si>
    <t> Cade Deng</t>
  </si>
  <si>
    <t>Janelle/
Bowie Lee</t>
  </si>
  <si>
    <t>23 Dec:
Tech-launch completed.
18-Dec:
Tech-launch tonight. Status: Good. DR test: 17 Jan.
16-Dec:
Tech launch will release 1 service and Business will releae the rest 3 service
APPS-IRA-Signoff is WIP(includes Code, DAST, Pent Test)
No code change between tech launch and businees launch. THR on PRD(WIP - ETA: today)
9-Dec:
Firewall ticket for PRD submitted.
Qualys and CSPM is WIP on UAT?(To confirm with Jeff)
DAST scan is on this week(need to scan by server)
Pent test by PH(via jump host)
4-Dec:
WIP
3-Dec:
No AI and no PII data(Trista, pls confirm)
Apps release signoff and can proceed for PRD setup which IP could be provided for firewall opening(DB IP to provide first)
DAST scanning is having issue
27-Nov:
Fixed timeout issue
Firewall will enable today for ingress(will plan for UAT test tomorrow)
PRD firewall is plan to submit earlier(UAT signoff date is planned 25-Dec)
25-Nov:
Configure KMS in UAT and SIT but having timeout issue(Cade to work with Jeff team)(UAT signoff is on 
20-Nov:
Firewall submitted on UAT on Thursday. AAD is progress
18-Nov:
&lt;Not joined&gt;
13-Nov:
DEV is just deployed and will start test. UAT pending firewall(Cade)
3-Jan is change freeze and no change of go live date(Cade)
to work through solution with Sunny(Cade)
11-Nov:
Under DEV and SIT testing(Trista)
To know the IPs of PRD before 7-Dec(for firewall)</t>
  </si>
  <si>
    <t>Go Live date at 3-Jan(change freeze)</t>
  </si>
  <si>
    <t>Signoff of final apps release at 2-Dec by Cade</t>
  </si>
  <si>
    <t>PII: No
PRD: Yes</t>
  </si>
  <si>
    <t>Replatform Marketing Campaign System (Leads Generation) - Replatform</t>
  </si>
  <si>
    <t>Albert/Trista (replatform)</t>
  </si>
  <si>
    <t>N
6.1</t>
  </si>
  <si>
    <t>12-Feb: GCS no concern, ETS IRA is approved
5-Feb: GCS form to submit by Sunny will send out in next week
3 Feb: Proposed to bring forward 13 Feb.
29-Jan : No PII and internet facing
22-Jan:
BUSO approval?
IRA report?
18-Dec:
Tech-launch tonight. Status: Good. DR test: 17 Jan.
16-Dec:
Tech launch will release 1 service and Business will releae the rest 3 service
APPS-IRA-Signoff is WIP(includes Code, DAST, Pent Test)
No code change between tech launch and businees launch. THR on PRD(WIP - ETA: today)
9-Dec:
Firewall ticket for PRD submitted.
Qualys and CSPM is WIP on UAT?(To confirm with Jeff)
DAST scan is on this week(need to scan by server)
Pent test by PH(via jump host)
4-Dec:
WIP
3-Dec:
No AI and no PII data(Trista, pls confirm)
Apps release signoff and can proceed for PRD setup which IP could be provided for firewall opening(DB IP to provide first)
DAST scanning is having issue
27-Nov:
Fixed timeout issue
Firewall will enable today for ingress(will plan for UAT test tomorrow)
PRD firewall is plan to submit earlier(UAT signoff date is planned 25-Dec)
25-Nov:
Configure KMS in UAT and SIT but having timeout issue(Cade to work with Jeff team)(UAT signoff is on 
20-Nov:
Firewall submitted on UAT on Thursday. AAD is progress
18-Nov:
&lt;Not joined&gt;
13-Nov:
DEV is just deployed and will start test. UAT pending firewall(Cade)
3-Jan is change freeze and no change of go live date(Cade)
to work through solution with Sunny(Cade)
11-Nov:
Under DEV and SIT testing(Trista)
To know the IPs of PRD before 7-Dec(for firewall)</t>
  </si>
  <si>
    <t>Not Submissed</t>
  </si>
  <si>
    <t>Agency Room Booking System</t>
  </si>
  <si>
    <t>Tony Lin/Richard/Albert</t>
  </si>
  <si>
    <t> Michael Mei</t>
  </si>
  <si>
    <t>Carol Teoh </t>
  </si>
  <si>
    <t>20-jan: RPO/RTO - data replication is longer but still within RPO/RTO
15-Jan:
DR will perform on this Saturday
13-Jan:
design document - active-active on ACKS and DB(Xin Tong and Tony)
23 Dec:
Tech-launch completed. Manutouch integration to Ali to be raised on 4 Jan.
18 Dec:
Pentest: No medium &amp; above issues. Final report 22 Dcc. Tech launch: 22 Dec night. Status: Good. DR test: 17 Jan.
16-Dec:
THR is completed on UAT
Pent test is targeted to completed by 17-Dec
Apps monitoring and logging are WIP
APPS-IRA-Signoff is WIP(includes Code, DAST, Pent Test)
11-Dec:
MFC testing is fine and MVC center is not fine(Checking firewall)
Plan to have tech launch at 20-Dec
DAST scan is completed and no medium or above
UAT signoff -17-Dec
9-Dec
DAST scan to scan
Pen test to scan
4-Dec:
Pent test is WIP
UAT signoff is 4-Dec
3-Dec:
&lt;Not joined&gt;
27-Nov:
Pen test 1-Dec and 19-Dec
UAT is still in progress
25-Nov:
UAT env need permission to setup token(Aubrey)
Firewall will need to open for authenication(Yoyo)
20-Nov:
UAT is setting up with ADO and target testing in next week. Penetration test is arranged in next week. scanning of source code is required to vendor(TBC)
18-Nov:
Penetration test is not confirmed. DEV is in progress and no issue. UAT will start next week
13-Nov:
Start testing on DEV. Next week will have new release from vendor(Tony)
4-Jan is still the go live date(Tony)
11-Nov:
Not started yet on DEV</t>
  </si>
  <si>
    <t>Signoff of final apps release at 4-Dec by Albert</t>
  </si>
  <si>
    <t>PII: No
PRD: No</t>
  </si>
  <si>
    <t>Quantum LeadGen by MarTech CP 2</t>
  </si>
  <si>
    <t>Albert Ahg</t>
  </si>
  <si>
    <t>Not Started</t>
  </si>
  <si>
    <t>Target 10 Nov</t>
  </si>
  <si>
    <t>ATAS(non HK)</t>
  </si>
  <si>
    <t>Jace</t>
  </si>
  <si>
    <t>Raina</t>
  </si>
  <si>
    <t>UAT testing now(ETA:3-Dec to completed UAT testing)</t>
  </si>
  <si>
    <t>Max Compute and Data Work</t>
  </si>
  <si>
    <t>Signoff of final apps release at 1-Dec by Raina</t>
  </si>
  <si>
    <t>N</t>
  </si>
  <si>
    <t>Data Quality and Governance Transformation (ODS)</t>
  </si>
  <si>
    <t>Terence Leung
Micheal Cheng</t>
  </si>
  <si>
    <t> Sourav / Ranjith</t>
  </si>
  <si>
    <t>Yeap/
Gary</t>
  </si>
  <si>
    <r>
      <rPr>
        <strike/>
        <sz val="10"/>
        <color theme="1"/>
        <rFont val="Aptos Narrow"/>
        <scheme val="minor"/>
      </rPr>
      <t xml:space="preserve">30-Mar-26
</t>
    </r>
    <r>
      <rPr>
        <sz val="10"/>
        <color theme="1"/>
        <rFont val="Aptos Narrow"/>
        <scheme val="minor"/>
      </rPr>
      <t>20-Mar-26</t>
    </r>
  </si>
  <si>
    <r>
      <rPr>
        <strike/>
        <sz val="10"/>
        <color rgb="FF000000"/>
        <rFont val="Aptos Narrow"/>
        <scheme val="minor"/>
      </rPr>
      <t xml:space="preserve">30-Mar-26
</t>
    </r>
    <r>
      <rPr>
        <sz val="10"/>
        <color rgb="FF000000"/>
        <rFont val="Aptos Narrow"/>
        <scheme val="minor"/>
      </rPr>
      <t>6-Jun-26</t>
    </r>
  </si>
  <si>
    <t>8-Apr: Tech launched on 20 Mar. Target:
- 30 Apr:  production data ingestion into PROD
- 31 Mar: go-live
12-Feb: Tech launch at 28-Feb. Go Live to be confirmed
29-Jan: It should be all data for HKIT. what is this phase for? e.g. data injection?
23 Dec:
Flink THR to be updated by Jeff.
18 Dec:
Testing is UAT proceeding.
16-dec:
UAT testing conducting and cannot access to UAT
11-Dec:
UAT account is requestd
9-Dec:
To setup UAT env by ETS(ETA: To be confirmed by Jeff)
4-Dec:
review UAT schedule and work
3-Dec:
will review the timeline based on UAT release schedule
27-Nov:
Flink is enabled and working on testing(Internal DNS resolution for Flink only)
25-Nov:
Flink will need to open and under IRA review(Edison)
20-Nov:
On track and go to SIT after DEV
18-Nov:
&lt;Sourav&gt;&lt;Ranjith&gt; testing in dev(ETA:25-Nov). to add Flink and datawork on DEV
Jeff comments in purple
Potential Risk for Dataworks to go live (THR)  - New Product
Flink required
13-Nov:
Under Dev testing (Sourav)
Add Flink is approved by HK ARB(Harry to provide pattern to use)(To confirm setup time after Harry)
Some is on UAT already - Data work is also required(Jeff)</t>
  </si>
  <si>
    <t>Flink(new service) and Data Work</t>
  </si>
  <si>
    <t>PII: Yes 
PRD: Yes
Data: Gamma DC</t>
  </si>
  <si>
    <t>CAS modernization: PolarDB</t>
  </si>
  <si>
    <t>Wilson/Ka Fai</t>
  </si>
  <si>
    <t xml:space="preserve"> Sammi Wan </t>
  </si>
  <si>
    <t>29-Sep-25 
(SDR 3)</t>
  </si>
  <si>
    <t>TBC(Nov)</t>
  </si>
  <si>
    <t>5-Feb: To send out risk report on next Wed
29-Jan: Target to have PII data at end of Feb (28-Feb with dat sync to AliCloud)</t>
  </si>
  <si>
    <t>CAS modernization: Data ingestion into production CAS PolarDB</t>
  </si>
  <si>
    <t>N/A</t>
  </si>
  <si>
    <t>8-Apr: Target production data to be ingested on 30 Apr. Current loading into UAT.</t>
  </si>
  <si>
    <t>CAS modernization: CAS forms &amp; reports</t>
  </si>
  <si>
    <t>Mabel/Ka Fai</t>
  </si>
  <si>
    <t>CAS modernization: CA batch-job</t>
  </si>
  <si>
    <t>8-Apr: ECS env required for CA batch job.</t>
  </si>
  <si>
    <t>FUW (Future Underwriting Blueprint) | Digital Submission Enhancement (ePOS)(FUW Pillar 5)</t>
  </si>
  <si>
    <t>Frederick Tsui</t>
  </si>
  <si>
    <t>Jenny He</t>
  </si>
  <si>
    <t>Edward/
Kin Chan</t>
  </si>
  <si>
    <t>01-Sep-25 (SDR1)</t>
  </si>
  <si>
    <r>
      <rPr>
        <strike/>
        <sz val="10"/>
        <color theme="1"/>
        <rFont val="Aptos Narrow"/>
        <scheme val="minor"/>
      </rPr>
      <t xml:space="preserve">1-Apr-26
</t>
    </r>
    <r>
      <rPr>
        <sz val="10"/>
        <color theme="1"/>
        <rFont val="Aptos Narrow"/>
        <scheme val="minor"/>
      </rPr>
      <t>19-Apr-26</t>
    </r>
  </si>
  <si>
    <t>23-Mar: Service call to Ali AI Search (approved component) &amp; no env required.
Should not be started depends on 4) and 5)</t>
  </si>
  <si>
    <t>COSMOS (DCS) Phase 2</t>
  </si>
  <si>
    <t>Theresa Cheung</t>
  </si>
  <si>
    <t>Lamar Wei</t>
  </si>
  <si>
    <t>Janelle/
Stephen Ho</t>
  </si>
  <si>
    <r>
      <rPr>
        <strike/>
        <sz val="10"/>
        <color theme="1"/>
        <rFont val="Aptos Narrow"/>
        <scheme val="minor"/>
      </rPr>
      <t xml:space="preserve">20-Oct-25
1-Aug-26
</t>
    </r>
    <r>
      <rPr>
        <sz val="10"/>
        <color theme="1"/>
        <rFont val="Aptos Narrow"/>
        <scheme val="minor"/>
      </rPr>
      <t>4-May-26</t>
    </r>
  </si>
  <si>
    <r>
      <rPr>
        <strike/>
        <sz val="10"/>
        <color theme="1"/>
        <rFont val="Aptos Narrow"/>
        <scheme val="minor"/>
      </rPr>
      <t xml:space="preserve">15-Jan-26
1-Dec-26
</t>
    </r>
    <r>
      <rPr>
        <sz val="10"/>
        <color theme="1"/>
        <rFont val="Aptos Narrow"/>
        <scheme val="minor"/>
      </rPr>
      <t>6-Jul-26</t>
    </r>
  </si>
  <si>
    <r>
      <rPr>
        <strike/>
        <sz val="10"/>
        <color rgb="FF000000"/>
        <rFont val="Aptos Narrow"/>
        <scheme val="minor"/>
      </rPr>
      <t xml:space="preserve">15-Feb-26
1-Feb-27
</t>
    </r>
    <r>
      <rPr>
        <sz val="10"/>
        <color rgb="FF000000"/>
        <rFont val="Aptos Narrow"/>
        <scheme val="minor"/>
      </rPr>
      <t>26-Oct-26</t>
    </r>
  </si>
  <si>
    <r>
      <t xml:space="preserve">15-Mar-26
</t>
    </r>
    <r>
      <rPr>
        <sz val="10"/>
        <color rgb="FF000000"/>
        <rFont val="Aptos Narrow"/>
        <scheme val="minor"/>
      </rPr>
      <t>5-Dec-26</t>
    </r>
  </si>
  <si>
    <r>
      <rPr>
        <strike/>
        <sz val="10"/>
        <color rgb="FF000000"/>
        <rFont val="Aptos Narrow"/>
        <scheme val="minor"/>
      </rPr>
      <t xml:space="preserve">20-Jul-26
1-Mar-27
</t>
    </r>
    <r>
      <rPr>
        <sz val="10"/>
        <color rgb="FF000000"/>
        <rFont val="Aptos Narrow"/>
        <scheme val="minor"/>
      </rPr>
      <t>23-1-27</t>
    </r>
  </si>
  <si>
    <t>3 Feb: RCS by end-Feb &amp; build Distribution ODS.</t>
  </si>
  <si>
    <t>Universal Life (previously known as IUL)</t>
  </si>
  <si>
    <t>George Lau</t>
  </si>
  <si>
    <t>Jess Wong</t>
  </si>
  <si>
    <r>
      <rPr>
        <strike/>
        <sz val="10"/>
        <color rgb="FF000000"/>
        <rFont val="Aptos Narrow"/>
        <scheme val="minor"/>
      </rPr>
      <t xml:space="preserve">15-Dec-25
</t>
    </r>
    <r>
      <rPr>
        <sz val="10"/>
        <color rgb="FF000000"/>
        <rFont val="Aptos Narrow"/>
        <scheme val="minor"/>
      </rPr>
      <t>2-Feb-26</t>
    </r>
  </si>
  <si>
    <t>5/17/2026
TBC</t>
  </si>
  <si>
    <t>30-Mar: Reschedule/Put on-hold.</t>
  </si>
  <si>
    <t>No Ali env requirements as this is a product project.</t>
  </si>
  <si>
    <t>NBUW/FUW (Future Underwriting Blueprint) | One Single View NBUW Platform Phase 2
- Apr release: application enhancement
- Jul release: Tech-Launch on Ali migration for OSP</t>
  </si>
  <si>
    <t>27-Mar: Phase 2 enhancement will be launched on-top of Phase 1 (#5) launched on 3 Jan earlier.
16-Mar: Event Bridge has been flagged as "Y" under #4 and #5</t>
  </si>
  <si>
    <t>Y (~2XX)</t>
  </si>
  <si>
    <t>NBUW/FUW (Future Underwriting Blueprint) | GenAI Powered-up Underwriting (For AA Team)
- Apr release: application enhancement
- July release: application enhancement + integration with OSP</t>
  </si>
  <si>
    <t>Jeremy Wu/ Plato Leung</t>
  </si>
  <si>
    <t>GI partnership</t>
  </si>
  <si>
    <t>Eric Wong</t>
  </si>
  <si>
    <t>Kin Chan</t>
  </si>
  <si>
    <t>MCF</t>
  </si>
  <si>
    <t>Pong Soon Lung</t>
  </si>
  <si>
    <t> Ronaldo Wang</t>
  </si>
  <si>
    <t>TBC</t>
  </si>
  <si>
    <r>
      <t xml:space="preserve">31-Mar-26
</t>
    </r>
    <r>
      <rPr>
        <sz val="10"/>
        <color rgb="FF000000"/>
        <rFont val="Aptos Narrow"/>
        <scheme val="minor"/>
      </rPr>
      <t>1-Jul-26</t>
    </r>
  </si>
  <si>
    <t xml:space="preserve">Agency Printing </t>
  </si>
  <si>
    <t>Joseph Wong</t>
  </si>
  <si>
    <t>Serena Wang</t>
  </si>
  <si>
    <r>
      <rPr>
        <strike/>
        <sz val="10"/>
        <color rgb="FF000000"/>
        <rFont val="Aptos Narrow"/>
        <scheme val="minor"/>
      </rPr>
      <t xml:space="preserve">1-Apr-26
</t>
    </r>
    <r>
      <rPr>
        <sz val="10"/>
        <color rgb="FF000000"/>
        <rFont val="Aptos Narrow"/>
        <scheme val="minor"/>
      </rPr>
      <t>N/A</t>
    </r>
  </si>
  <si>
    <r>
      <rPr>
        <strike/>
        <sz val="10"/>
        <color rgb="FF000000"/>
        <rFont val="Aptos Narrow"/>
        <scheme val="minor"/>
      </rPr>
      <t xml:space="preserve">15-May-26
</t>
    </r>
    <r>
      <rPr>
        <sz val="10"/>
        <color rgb="FF000000"/>
        <rFont val="Aptos Narrow"/>
        <scheme val="minor"/>
      </rPr>
      <t>2-Jul-26</t>
    </r>
  </si>
  <si>
    <r>
      <rPr>
        <strike/>
        <sz val="10"/>
        <color rgb="FF000000"/>
        <rFont val="Aptos Narrow"/>
        <scheme val="minor"/>
      </rPr>
      <t xml:space="preserve">15-Jun-26
</t>
    </r>
    <r>
      <rPr>
        <sz val="10"/>
        <color rgb="FF000000"/>
        <rFont val="Aptos Narrow"/>
        <scheme val="minor"/>
      </rPr>
      <t>1-Sep-26</t>
    </r>
  </si>
  <si>
    <r>
      <rPr>
        <strike/>
        <sz val="10"/>
        <color rgb="FF000000"/>
        <rFont val="Aptos Narrow"/>
        <scheme val="minor"/>
      </rPr>
      <t xml:space="preserve">15-Jul-26
</t>
    </r>
    <r>
      <rPr>
        <sz val="10"/>
        <color rgb="FF000000"/>
        <rFont val="Aptos Narrow"/>
        <scheme val="minor"/>
      </rPr>
      <t>1-Oct-26</t>
    </r>
  </si>
  <si>
    <r>
      <rPr>
        <strike/>
        <sz val="10"/>
        <color rgb="FF000000"/>
        <rFont val="Aptos Narrow"/>
        <scheme val="minor"/>
      </rPr>
      <t xml:space="preserve">15-Jul-26
</t>
    </r>
    <r>
      <rPr>
        <sz val="10"/>
        <color rgb="FF000000"/>
        <rFont val="Aptos Narrow"/>
        <scheme val="minor"/>
      </rPr>
      <t>1-Nov-26</t>
    </r>
  </si>
  <si>
    <t>7-May: Vendor solution.
26-Mar: ECS env requirement.
24-Feb: Microsoft SQL is required(PGC code). What is DR requirement? 
29-Jan:  Internet facing , agency network, dmz zone for agency, agency domain</t>
  </si>
  <si>
    <t>MOVE 2.0</t>
  </si>
  <si>
    <t>Albert Ahg/Kwok Shing Lee</t>
  </si>
  <si>
    <t>Janelle/Williams Tan</t>
  </si>
  <si>
    <r>
      <rPr>
        <strike/>
        <sz val="10"/>
        <color rgb="FF000000"/>
        <rFont val="Aptos Narrow"/>
        <scheme val="minor"/>
      </rPr>
      <t xml:space="preserve">15-Feb-26
</t>
    </r>
    <r>
      <rPr>
        <sz val="10"/>
        <color rgb="FF000000"/>
        <rFont val="Aptos Narrow"/>
        <scheme val="minor"/>
      </rPr>
      <t>8-Jun-26</t>
    </r>
  </si>
  <si>
    <t>1-Jul-26</t>
  </si>
  <si>
    <t>Sky (to utilize Move 2.0 env)</t>
  </si>
  <si>
    <t>Albert Ahg/Axel Leung</t>
  </si>
  <si>
    <t>James Cheung/Eva Law</t>
  </si>
  <si>
    <t>James</t>
  </si>
  <si>
    <t>ICHS (CTOM) - Claims ODS</t>
  </si>
  <si>
    <t>Vincent Lee</t>
  </si>
  <si>
    <t>  Neil Li</t>
  </si>
  <si>
    <t>Ellen
Gail Gu/Barry L.</t>
  </si>
  <si>
    <t>7-Nov-26</t>
  </si>
  <si>
    <t>ICHS (CTOM)</t>
  </si>
  <si>
    <r>
      <rPr>
        <strike/>
        <sz val="10"/>
        <color rgb="FF000000"/>
        <rFont val="Aptos Narrow"/>
        <scheme val="minor"/>
      </rPr>
      <t xml:space="preserve">1-Mar-26
</t>
    </r>
    <r>
      <rPr>
        <sz val="10"/>
        <color rgb="FF000000"/>
        <rFont val="Aptos Narrow"/>
        <scheme val="minor"/>
      </rPr>
      <t>6-Jul-26</t>
    </r>
  </si>
  <si>
    <r>
      <rPr>
        <strike/>
        <sz val="10"/>
        <color rgb="FF000000"/>
        <rFont val="Aptos Narrow"/>
        <scheme val="minor"/>
      </rPr>
      <t xml:space="preserve">Onboarding Journey Digitalization &amp; Back Office Automation
</t>
    </r>
    <r>
      <rPr>
        <sz val="10"/>
        <color rgb="FF000000"/>
        <rFont val="Aptos Narrow"/>
        <scheme val="minor"/>
      </rPr>
      <t>(No AliCloud env requirement)</t>
    </r>
  </si>
  <si>
    <t>CI00005294596</t>
  </si>
  <si>
    <t>Tammy Tam/Ben Fong/Helen Kwong</t>
  </si>
  <si>
    <t>Jessica Li</t>
  </si>
  <si>
    <t>Bowie Lee</t>
  </si>
  <si>
    <t> 19-Jul-2026
5-Nov-2026
3-Jan-2027</t>
  </si>
  <si>
    <t>No Ali env required as application is writing data into Distribution ODS.</t>
  </si>
  <si>
    <r>
      <rPr>
        <strike/>
        <sz val="10"/>
        <color rgb="FF000000"/>
        <rFont val="Aptos Narrow"/>
        <scheme val="minor"/>
      </rPr>
      <t xml:space="preserve">Project Quantum – Agency Comp Review
</t>
    </r>
    <r>
      <rPr>
        <sz val="10"/>
        <color rgb="FF000000"/>
        <rFont val="Aptos Narrow"/>
        <scheme val="minor"/>
      </rPr>
      <t>(No AliCloud env requirement)</t>
    </r>
  </si>
  <si>
    <t>Tony Lee
Theresa Cheung</t>
  </si>
  <si>
    <t>Stephen Ho</t>
  </si>
  <si>
    <r>
      <rPr>
        <strike/>
        <sz val="10"/>
        <color rgb="FF000000"/>
        <rFont val="Aptos Narrow"/>
        <scheme val="minor"/>
      </rPr>
      <t xml:space="preserve">Project Quantum – Leads Mgmt
</t>
    </r>
    <r>
      <rPr>
        <sz val="10"/>
        <color rgb="FF000000"/>
        <rFont val="Aptos Narrow"/>
        <scheme val="minor"/>
      </rPr>
      <t>(No AliCloud env requirement)</t>
    </r>
  </si>
  <si>
    <t>Vincent Kong</t>
  </si>
  <si>
    <t>Queenie</t>
  </si>
  <si>
    <r>
      <rPr>
        <strike/>
        <sz val="10"/>
        <color rgb="FF000000"/>
        <rFont val="Aptos Narrow"/>
        <scheme val="minor"/>
      </rPr>
      <t xml:space="preserve">Project Quantum – AgencyBI 
</t>
    </r>
    <r>
      <rPr>
        <sz val="10"/>
        <color rgb="FF000000"/>
        <rFont val="Aptos Narrow"/>
        <scheme val="minor"/>
      </rPr>
      <t>(No AliCloud env requirement)</t>
    </r>
  </si>
  <si>
    <t>CI00000087554</t>
  </si>
  <si>
    <t>Tammy Tam</t>
  </si>
  <si>
    <t>Void Zheng</t>
  </si>
  <si>
    <t>Agency BI still in Azure, enhancement doing this year</t>
  </si>
  <si>
    <r>
      <rPr>
        <strike/>
        <sz val="10"/>
        <color rgb="FF000000"/>
        <rFont val="Aptos Narrow"/>
        <scheme val="minor"/>
      </rPr>
      <t xml:space="preserve">Project Quantum – Project Management 
</t>
    </r>
    <r>
      <rPr>
        <sz val="10"/>
        <color rgb="FF000000"/>
        <rFont val="Aptos Narrow"/>
        <scheme val="minor"/>
      </rPr>
      <t>(No AliCloud env requirement)</t>
    </r>
  </si>
  <si>
    <t>Janelle</t>
  </si>
  <si>
    <r>
      <rPr>
        <strike/>
        <sz val="10"/>
        <color rgb="FF000000"/>
        <rFont val="Aptos Narrow"/>
        <scheme val="minor"/>
      </rPr>
      <t xml:space="preserve">Single Customer App
</t>
    </r>
    <r>
      <rPr>
        <sz val="10"/>
        <color rgb="FF000000"/>
        <rFont val="Aptos Narrow"/>
        <scheme val="minor"/>
      </rPr>
      <t>(No AliCloud env requirement)</t>
    </r>
  </si>
  <si>
    <t>Almira Leung</t>
  </si>
  <si>
    <r>
      <rPr>
        <strike/>
        <sz val="10"/>
        <color rgb="FF000000"/>
        <rFont val="Aptos Narrow"/>
        <scheme val="minor"/>
      </rPr>
      <t xml:space="preserve">Project Sky
</t>
    </r>
    <r>
      <rPr>
        <sz val="10"/>
        <color rgb="FF000000"/>
        <rFont val="Aptos Narrow"/>
        <scheme val="minor"/>
      </rPr>
      <t>(Duplicate)</t>
    </r>
  </si>
  <si>
    <t>Axel Leung</t>
  </si>
  <si>
    <t>Digital Payment Transformation</t>
  </si>
  <si>
    <t>Carol Teoh</t>
  </si>
  <si>
    <t>MCV Operations Enhancement in Buy Journey</t>
  </si>
  <si>
    <t>IA Commission Spreading
(No AliCloud env requirement)</t>
  </si>
  <si>
    <t>Policy Services Enhancement
(No AliCloud env requirement)</t>
  </si>
  <si>
    <t>Elvis Lee</t>
  </si>
  <si>
    <t>Vera Liu</t>
  </si>
  <si>
    <t>Eva
Mei Ling Lau</t>
  </si>
  <si>
    <t>Jan 2029 (TBC)</t>
  </si>
  <si>
    <t>3 phases of this project:
July 2026 release - 3rd Party Payment
Nov 2026 release - Oversea Payment
Jan 2027 - Designated Requester
Provided dates (listed in left hand side) are for July 2026 release, the other 2 phases planning TBC</t>
  </si>
  <si>
    <t>Distribution Health Enablement (Agency)</t>
  </si>
  <si>
    <r>
      <rPr>
        <sz val="10"/>
        <color rgb="FF000000"/>
        <rFont val="Aptos Narrow"/>
        <scheme val="minor"/>
      </rPr>
      <t>S</t>
    </r>
    <r>
      <rPr>
        <strike/>
        <sz val="10"/>
        <color rgb="FF000000"/>
        <rFont val="Aptos Narrow"/>
        <scheme val="minor"/>
      </rPr>
      <t xml:space="preserve">implified Chinese / "Project Jianhua / 简化"
</t>
    </r>
    <r>
      <rPr>
        <sz val="10"/>
        <color rgb="FF000000"/>
        <rFont val="Aptos Narrow"/>
        <scheme val="minor"/>
      </rPr>
      <t>(No AliCloud env requirement)</t>
    </r>
  </si>
  <si>
    <t>Alice Zhou</t>
  </si>
  <si>
    <t> 1-Jue</t>
  </si>
  <si>
    <t>1-Jue</t>
  </si>
  <si>
    <t>NA</t>
  </si>
  <si>
    <t>Orion - Goup Health System Replacement (GLH)</t>
  </si>
  <si>
    <t>Judith / Eric Wong</t>
  </si>
  <si>
    <t>Minshan Zhang/
Chee King Poon</t>
  </si>
  <si>
    <t>26 Mar: GLH's Nov stage 3 milestone is to interface to ODS-Polar (Policy, Product &amp; Customer)</t>
  </si>
  <si>
    <r>
      <rPr>
        <strike/>
        <sz val="10"/>
        <color rgb="FF000000"/>
        <rFont val="Aptos Narrow"/>
        <scheme val="minor"/>
      </rPr>
      <t xml:space="preserve">Project Glider - reinsurance implementation
</t>
    </r>
    <r>
      <rPr>
        <sz val="10"/>
        <color rgb="FF000000"/>
        <rFont val="Aptos Narrow"/>
        <scheme val="minor"/>
      </rPr>
      <t>(No AliCloud env requirement)</t>
    </r>
  </si>
  <si>
    <t>TD MVA</t>
  </si>
  <si>
    <t>AML Replacement</t>
  </si>
  <si>
    <t>HKPLA (completed project）</t>
  </si>
  <si>
    <t>Immediate Annuity（to be complete in Jul 2026
）</t>
  </si>
  <si>
    <t>Iris Vong</t>
  </si>
  <si>
    <t xml:space="preserve">Product Onboarding Acceleration​
</t>
  </si>
  <si>
    <t>Marklee Hu</t>
  </si>
  <si>
    <t>Nexus</t>
  </si>
  <si>
    <t>Albert / Axel</t>
  </si>
  <si>
    <t>Chee Kin Poon</t>
  </si>
  <si>
    <t>Checking</t>
  </si>
  <si>
    <t>INFOR(non HK)</t>
  </si>
  <si>
    <t>Additional item</t>
  </si>
  <si>
    <t>Requirement</t>
  </si>
  <si>
    <t>Owner</t>
  </si>
  <si>
    <t xml:space="preserve">Global year-end Change Freeze Cycle will start Wednesday December 24th, 2025, at 12:00pm (noon) EST/HKT until Thursday January 8th, 2026, at 11:59am EST/HKT. </t>
  </si>
  <si>
    <t>If go live between change freeze. 1) HK team will need to raise and get ECR approved for any change required(ETS will not raise any ECR), 2) Any change required on 3-Jan will need well plan as Azure change might not have global team to perform the work</t>
  </si>
  <si>
    <t>HK Apps Owner</t>
  </si>
  <si>
    <t>New AI Service</t>
  </si>
  <si>
    <r>
      <rPr>
        <b/>
        <sz val="10"/>
        <color rgb="FF000000"/>
        <rFont val="Aptos Narrow"/>
        <scheme val="minor"/>
      </rPr>
      <t>Apps owner</t>
    </r>
    <r>
      <rPr>
        <sz val="10"/>
        <color rgb="FF000000"/>
        <rFont val="Aptos Narrow"/>
        <scheme val="minor"/>
      </rPr>
      <t xml:space="preserve"> will need to get approval on AI at AliCloud
i)Use case or Prompt Enginnering(ADO &amp; AA)
ii) Foundation LLM Evaluation(Eugene Wen, Global Data Technology )</t>
    </r>
  </si>
  <si>
    <t>Apps Owner, ADO, AA, GD</t>
  </si>
  <si>
    <t>New Service(Non AI)</t>
  </si>
  <si>
    <r>
      <rPr>
        <b/>
        <sz val="10"/>
        <color theme="1"/>
        <rFont val="Aptos Narrow"/>
        <scheme val="minor"/>
      </rPr>
      <t>ETS-IRA and BU-IRA</t>
    </r>
    <r>
      <rPr>
        <sz val="10"/>
        <color theme="1"/>
        <rFont val="Aptos Narrow"/>
        <scheme val="minor"/>
      </rPr>
      <t xml:space="preserve"> will need to approve before enable at AliCloud(Same as Azure)</t>
    </r>
  </si>
  <si>
    <t>ETS-IRA and BU-IRA</t>
  </si>
  <si>
    <t>Other projects timeline</t>
  </si>
  <si>
    <t>To provide\revise the timeline</t>
  </si>
  <si>
    <t>Yeap</t>
  </si>
  <si>
    <t>No ECS (VM) should be created</t>
  </si>
  <si>
    <t>VM creation requires approval</t>
  </si>
  <si>
    <t>Harry</t>
  </si>
  <si>
    <t>Date</t>
  </si>
  <si>
    <t>Item</t>
  </si>
  <si>
    <t>Details</t>
  </si>
  <si>
    <t>Raised By</t>
  </si>
  <si>
    <t>Go Live</t>
  </si>
  <si>
    <t>Jarvis</t>
  </si>
  <si>
    <t>Event Bridge</t>
  </si>
  <si>
    <t>Ka Fai / Kenneth</t>
  </si>
  <si>
    <t>DCS</t>
  </si>
  <si>
    <t>Function Compute</t>
  </si>
  <si>
    <r>
      <rPr>
        <sz val="10"/>
        <color rgb="FF000000"/>
        <rFont val="Aptos Narrow (Body)"/>
      </rPr>
      <t xml:space="preserve">Updated as at: </t>
    </r>
    <r>
      <rPr>
        <b/>
        <sz val="10"/>
        <color rgb="FFFF0000"/>
        <rFont val="Aptos Narrow (Body)"/>
      </rPr>
      <t>9 OCT</t>
    </r>
  </si>
  <si>
    <t>Pre-PROD/PROD/DR</t>
  </si>
  <si>
    <t>Tech</t>
  </si>
  <si>
    <t>Status</t>
  </si>
  <si>
    <t>Today</t>
  </si>
  <si>
    <t>Yesterday</t>
  </si>
  <si>
    <t>Qwen 3.0
Apps IRA approval(Done)
Pentration Test(Conducted)
Jonah use case review</t>
  </si>
  <si>
    <t>Back to UAT(17-Nov,startes and 5 Signoff) under SIT testing
DB SSL issue - Content is too long to push from KMS(max size limit?)(resolution: connect to OSS mount as local file? or to find where 3 for HK only)
Issue: CPU resource changes for PaaS
Remediation: Confirmed with HK-Architecture, no change on platform</t>
  </si>
  <si>
    <t>7-Dec(morning) should schedule DR - Sunny to discuss with Jarvis on maintenance window(Deploy code to PRD before DR test -Theresa)</t>
  </si>
  <si>
    <t>Anurag/
Alice</t>
  </si>
  <si>
    <t>Under SIT Testing
Adding component - Change to RabbitMQ</t>
  </si>
  <si>
    <t xml:space="preserve">Revised PRD launch at 22-Jan.
To review PRD timeline(Jakey)
</t>
  </si>
  <si>
    <t>Edward/
Edward</t>
  </si>
  <si>
    <t>Under DEV: Enable AnalyticDB for testing at 4-Nov
Adding component - AI on ADB</t>
  </si>
  <si>
    <t>&lt;API call only, no work&gt;</t>
  </si>
  <si>
    <t>engaged ETS and Ali in Q2 (before excel kicks-in);
excel request submit date: 30-Jul-26</t>
  </si>
  <si>
    <t>FUW (Future Underwriting Blueprint) | Digital Submission Enhancement (ePOS)</t>
  </si>
  <si>
    <t>Edward/
Flora</t>
  </si>
  <si>
    <t>Replatform Marketing Campaign System (Leads Generation)</t>
  </si>
  <si>
    <t>Albert</t>
  </si>
  <si>
    <t> 8-Jan is change freeze end time</t>
  </si>
  <si>
    <t>Pending decision if Alibaba timeline feasible</t>
  </si>
  <si>
    <t>Scott Li</t>
  </si>
  <si>
    <t>To confirm application requirement. Container registry could not be used.</t>
  </si>
  <si>
    <t>Jeff comments in purple
Potential Risk for Dataworks to go live (THR)  - New Product</t>
  </si>
  <si>
    <t>CAS modernization</t>
  </si>
  <si>
    <t>Phase 1 data sync is at Nov. Go Live at June-2025</t>
  </si>
  <si>
    <t>DCS: Phase 2</t>
  </si>
  <si>
    <t>DCS: Phase 3</t>
  </si>
  <si>
    <t>Janell/
Kelvin Mak</t>
  </si>
  <si>
    <t>Issue: SSL on DB connection is required
DEV is waiting to setup as SSL issue as data is transferred from Postgress DB to Polar DB(Ali to Ali)(using RSF\RCF for deploy)</t>
  </si>
  <si>
    <t>Shared ARB desk
Go without SSL</t>
  </si>
  <si>
    <t>CTOM</t>
  </si>
  <si>
    <t> Neil Li</t>
  </si>
  <si>
    <t>Anurag/
Gail</t>
  </si>
  <si>
    <t>29-Sep-25 
(SDR 1)</t>
  </si>
  <si>
    <t>Agency printing</t>
  </si>
  <si>
    <t>GLH (Orion)</t>
  </si>
  <si>
    <t>Anurag/
TBC </t>
  </si>
  <si>
    <t>MOVE 2.1</t>
  </si>
  <si>
    <t>Emily/
TBC</t>
  </si>
  <si>
    <t>Q1-26</t>
  </si>
  <si>
    <t>Sky</t>
  </si>
  <si>
    <t>Quantum LeadGen by MarTech CP 3</t>
  </si>
  <si>
    <t>CLAIMS</t>
  </si>
  <si>
    <t>Anurag/
Gail Gu</t>
  </si>
  <si>
    <t>ATAS</t>
  </si>
  <si>
    <t>is that</t>
  </si>
  <si>
    <r>
      <rPr>
        <sz val="10"/>
        <color rgb="FF000000"/>
        <rFont val="Aptos Narrow"/>
        <family val="2"/>
        <scheme val="minor"/>
      </rPr>
      <t>Updated as at:</t>
    </r>
    <r>
      <rPr>
        <sz val="10"/>
        <color rgb="FFFF0000"/>
        <rFont val="Aptos Narrow"/>
        <family val="2"/>
        <scheme val="minor"/>
      </rPr>
      <t xml:space="preserve"> </t>
    </r>
    <r>
      <rPr>
        <b/>
        <sz val="10"/>
        <color rgb="FFFF0000"/>
        <rFont val="Aptos Narrow"/>
        <family val="2"/>
        <scheme val="minor"/>
      </rPr>
      <t>27 Nov</t>
    </r>
  </si>
  <si>
    <t>AI Model</t>
  </si>
  <si>
    <t>27-Nov:
Request PRD vendor access on monitoring and logging (Aubrey to review)
DB encryption can be enable by apps team(WIP)
PostgreSQL - pgcrypto — cryptographic functions 
25Nov:
Vendor puts KMS on dev and testing.
PRD support on db access - ODS (Lamer to discuss with Jeff)
20Nov: 
DR test review meeting(Sunny)
18-Nov: project schedule posptoned to 4-Jan. 28-Dec is the tech luanch. DR at 20-Dec(19-Dec signoff by business owner). 
SIT testing is in progress and UAT test will be started at 2-Dec.
KMS issue is resolved(no major issue)
SSL is still not resolved
13-Nov:
Provided solution to vendor and how it will be hanlded with KMS(WIP)(Lamer)(ETA: TBC)
11-Nov:
Under SIT and working on fixing issue(Theresa)
Length of KMS and working with vendor on docker file to fix the issue(Lamar)
DR for DCS might need downtime from Jarvis(Theresa)</t>
  </si>
  <si>
    <r>
      <rPr>
        <sz val="10"/>
        <color theme="1"/>
        <rFont val="Aptos Narrow"/>
        <family val="2"/>
        <scheme val="minor"/>
      </rPr>
      <t>27-Nov:
KMS working in UAT
Rocket MQ is unstable(50% failure and 50% success)(Followup with Jakey\Jeff\Darren)
AI approval(No update)
AI protection(There is a test )
25-Nov:</t>
    </r>
    <r>
      <rPr>
        <sz val="10"/>
        <color rgb="FFFF0000"/>
        <rFont val="Aptos Narrow"/>
        <family val="2"/>
        <scheme val="minor"/>
      </rPr>
      <t xml:space="preserve">
</t>
    </r>
    <r>
      <rPr>
        <sz val="10"/>
        <color theme="1"/>
        <rFont val="Aptos Narrow"/>
        <family val="2"/>
        <scheme val="minor"/>
      </rPr>
      <t xml:space="preserve">KMS on UAT is working
Rocket MQ is still not connected(WIP)(Alan can help to troubleshoot)
LLM is still under approval(Jonah)
</t>
    </r>
    <r>
      <rPr>
        <sz val="10"/>
        <color rgb="FFFF0000"/>
        <rFont val="Aptos Narrow"/>
        <family val="2"/>
        <scheme val="minor"/>
      </rPr>
      <t>21-Nov:
No update on Jonah and Edward on the status update on AI approval as it will affect UAT testing(Jason\Yeap)</t>
    </r>
    <r>
      <rPr>
        <sz val="10"/>
        <color theme="1"/>
        <rFont val="Aptos Narrow"/>
        <family val="2"/>
        <scheme val="minor"/>
      </rPr>
      <t xml:space="preserve">
- No ADB is using on IDP(Jason to confirm with Jonah\AA)*ADB has embeedded AI
- UAT testing KMS and Rocket MQ testing in progress e.g. firewall(Rabbit changes to Rocket)
- For hardening, it will be CSPM
</t>
    </r>
    <r>
      <rPr>
        <sz val="10"/>
        <color rgb="FF006100"/>
        <rFont val="Aptos Narrow"/>
        <family val="2"/>
        <scheme val="minor"/>
      </rPr>
      <t>18-Nov:
Under UAT testing. KMS firewall is still WIP(Jeff and Jason to work together) . Rabbit MQ access issue(Alibaba team to help for alternative way), New AI approval(Working with AA in this afternoon). Core service needs DR(ACK has active-active design in AliCloud - Jason prepares a DR test plan)
13-Nov
qwen3-vl-plus, qwen-vl-max, qwen-vl-max-0813, qwen3-vl-plus-2025-09-23 required in AliCloud(Jakey and Jason confirms required)(These AI is not approved - Jason is working on approval with Roy/Jonah)
to verify UAT env tomorrow and firewall is pending to open(Jakey)</t>
    </r>
  </si>
  <si>
    <r>
      <rPr>
        <sz val="10"/>
        <color rgb="FF000000"/>
        <rFont val="Aptos Narrow"/>
        <family val="2"/>
        <scheme val="minor"/>
      </rPr>
      <t>12/15/2025(</t>
    </r>
    <r>
      <rPr>
        <sz val="10"/>
        <color rgb="FFFF0000"/>
        <rFont val="Aptos Narrow"/>
        <family val="2"/>
        <scheme val="minor"/>
      </rPr>
      <t>need change</t>
    </r>
    <r>
      <rPr>
        <sz val="10"/>
        <color rgb="FF000000"/>
        <rFont val="Aptos Narrow"/>
        <family val="2"/>
        <scheme val="minor"/>
      </rPr>
      <t>)</t>
    </r>
  </si>
  <si>
    <t xml:space="preserve">27-Nov:
Approved Embedded is enable
25-Nov:
ADB approval is required on ADB-AI embedded(Every Monday on ARB meeting)(Harry\Jamie)
20-Nov:
Jonah confirmed ADB-AI embedded is not on playbook and yet to confirm(Jonah\Charles)
18-Nov:
Qwen 2.0 setup at UAT. ADB-AI model requests approval
13-Nov:
qwen3-vl-plus, qwen-vl-max, qwen-vl-max-0813, qwen3-vl-plus-2025-09-23 are not required(Charles)
Qwen3.0 is required only(Charles)
ADB - AI search is required(Charles)(Jeremey is contact point of AA team)(To discuss with Sunny)
11-Nov:
UAT: ADB &amp; ADBAI part, we don't have security approval for it. Need Yunnie Yin approval for this into UAT &amp; PRD
*Cloud Flow will be ready at AliCloud-HK at 20-Nov
</t>
  </si>
  <si>
    <t xml:space="preserve">27-Nov:
CloudFlow is enable(WIP)
25-Nov:
CloudFlow did the hardening and waiting for IRA to confirm to release
20-Nov:
Cloud flow is setup at HK and setup at DEV waiting IRA to review
18-Nov:
Waiting for Cloud flow(To confirm Dongmei approval first before 20-Nov)
13-Nov:
Cloud flow should be ready at 20-Nov and ETS ready at 26-Nov
Tech launch at 2-Nov without cloudflow at PRD now(no AliCloud)
6 Nov: Exception will be secured for 3 Jan '26 Go-Live.
Sep: engaged ETS and Ali in Q2 (before excel kicks-in);
excel request submit date: 30-Jul-26.
</t>
  </si>
  <si>
    <t>Should not be started depends on 4) and 5)</t>
  </si>
  <si>
    <t>Albert/Tristra</t>
  </si>
  <si>
    <t>27-Nov:
Fixed timeout issue
Firewall will enable today for ingress(will plan for UAT test tomorrow)
PRD firewall is plan to submit earlier(UAT signoff date is planned 25-Dec)
25-Nov:
Configure KMS in UAT and SIT but having timeout issue(Cade to work with Jeff team)(UAT signoff is on 
20-Nov:
Firewall submitted on UAT on Thursday. AAD is progress
18-Nov:
&lt;Not joined&gt;
13-Nov:
DEV is just deployed and will start test. UAT pending firewall(Cade)
3-Jan is change freeze and no change of go live date(Cade)
to work through solution with Sunny(Cade)
11-Nov:
Under DEV and SIT testing(Trista)
To know the IPs of PRD before 7-Dec(for firewall)</t>
  </si>
  <si>
    <t>27-Nov:
Pen test 1-Dec and 19-Dec
UAT is still in progress
25-Nov:
UAT env need permission to setup token(Aubrey)
Firewall will need to open for authenication(Yoyo)
20-Nov:
UAT is setting up with ADO and target testing in next week. Penetration test is arranged in next week. scanning of source code is required to vendor(TBC)
18-Nov:
Penetration test is not confirmed. DEV is in progress and no issue. UAT will start next week
13-Nov:
Start testing on DEV. Next week will have new release from vendor(Tony)
4-Jan is still the go live date(Tony)
11-Nov:
Not started yet on DEV</t>
  </si>
  <si>
    <t> Sourav/Ranjith</t>
  </si>
  <si>
    <t>27-Nov:
Flink is enabled and working on testing(Internal DNS resolution for Flink only)
25-Nov:
Flink will need to open and under IRA review(Edison)
20-Nov:
On track and go to SIT after DEV
18-Nov:
&lt;Sourav&gt;&lt;Ranjith&gt; testing in dev(ETA:25-Nov). to add Flink and datawork on DEV
Jeff comments in purple
Potential Risk for Dataworks to go live (THR)  - New Product
Flink required
13-Nov:
Under Dev testing (Sourav)
Add Flink is approved by HK ARB(Harry to provide pattern to use)(To confirm setup time after Harry)
Some is on UAT already - Data work is also required(Jeff)</t>
  </si>
  <si>
    <t>Flink(new service)</t>
  </si>
  <si>
    <t>Emily/
Kenneth Li</t>
  </si>
  <si>
    <t>James Cheung</t>
  </si>
  <si>
    <t>IUL</t>
  </si>
  <si>
    <r>
      <rPr>
        <b/>
        <sz val="10"/>
        <color theme="1"/>
        <rFont val="Aptos Narrow"/>
        <family val="2"/>
        <scheme val="minor"/>
      </rPr>
      <t>Apps owner</t>
    </r>
    <r>
      <rPr>
        <sz val="10"/>
        <color theme="1"/>
        <rFont val="Aptos Narrow"/>
        <family val="2"/>
        <scheme val="minor"/>
      </rPr>
      <t xml:space="preserve"> will need to get approval on AI at AliCloud
i)Use case or Prompt Enginnering(ADO &amp; AA)
ii) Foundation LLM Evaluation(Eugene Wen, Global Data Technology )</t>
    </r>
  </si>
  <si>
    <r>
      <rPr>
        <b/>
        <sz val="10"/>
        <color theme="1"/>
        <rFont val="Aptos Narrow"/>
        <family val="2"/>
        <scheme val="minor"/>
      </rPr>
      <t>ETS-IRA and BU-IRA</t>
    </r>
    <r>
      <rPr>
        <sz val="10"/>
        <color theme="1"/>
        <rFont val="Aptos Narrow"/>
        <family val="2"/>
        <scheme val="minor"/>
      </rPr>
      <t xml:space="preserve"> will need to approve before enable at AliCloud(Same as Azure)</t>
    </r>
  </si>
  <si>
    <t>Scope</t>
  </si>
  <si>
    <t>IT lead</t>
  </si>
  <si>
    <t>Program Lead/PM</t>
  </si>
  <si>
    <t>Request Submission</t>
  </si>
  <si>
    <t>ETS Target  Delivery</t>
  </si>
  <si>
    <t>SIT/UAT</t>
  </si>
  <si>
    <t>Requirement on Ali</t>
  </si>
  <si>
    <t>Chatbot for Agent on Agent platform</t>
  </si>
  <si>
    <t>1. Alibaba LLM model, RAG and Vector DB related GenAI service
2. AliCloud sandbox env &amp; testing account
3. Network Firewall, CDN
4. Chatbot front-end setup with React (ACK,  API Gateway)
5. ACK foundation
6. PostgreSQL
7. Connection to ADF, Databricks, Data lake, ODS
8. Message queue
9. ADX logging
10. New relic monitoring
11. Connection to Gamma, AKS</t>
  </si>
  <si>
    <t>Distribution Compensation System revamp</t>
  </si>
  <si>
    <t>C2L components setup on Ali for some bonus type</t>
  </si>
  <si>
    <t>1. Internal Access to website
2. PostgreSQL
3. ACK
4. Object Storage to store files (ie. OSS)
5. Redis
6. Password Vault to store the DB password
7. Internal SSO with Active Directory MFCGD domain, with MFA enabled
8. CICD
  - vendor provide the container image (OS: RHEL/Ubuntu; AppServer: Jboss EAP) from their Nexu repository (outside Manulife), they are using VDI machine to access Manulife network. They perform development in their own development env, not Manulife.
   - deploy to PROD, auto deploy to DR, no manualAPIM
   - Connect IBM Aspera and Artifactory
11. Integration with ADX, can limit vendor to read logs for vendor software only (or Ali Alternatives)
12. Integration with New Relic (or Ali Alternatives)
13. CA workload can run DCS batch by calling DCS API, need AAD?
14. Public Access to website (2026)
    - Distribution Portal - another website in alicloud
connect Manulife Connect Framework (MCF - SG) 
     - ADO (Azure AKS) to Distribution portal at Alicloud
15. Connection to ADF, ADF will sync data from/to Manulife oracle DB, AKS Azure DB to PostgreSQL
16. Non-prod (Dev, SIT, UAT) and Prod are separate</t>
  </si>
  <si>
    <t>Some fundamental functions are also required. eg. network policy, DR location, cyberark to get secret to login prod DB/Portal, etc
14.1: MCF - SG (https://api.emmprd.asia.manulife.com/ext/nest-connect-gatewayd/interaction/3S5zu-ALp6ylbTmhYvAtS&amp;lang=zh-hant)
14.2: ADO (Azure AKS) ( https://api.hkprod.manulife.com.hk/ext/hk-ado-portal-web-app/login/agent)</t>
  </si>
  <si>
    <t>Shared Component for HKIT</t>
  </si>
  <si>
    <t>########</t>
  </si>
  <si>
    <t>Ali Model Studio
AsparaDB
ACK
Functions Compute
OSS
EventBridge
API Gateway
PAI for classification of image
Qwen suite of models (Qwen-vl-max, Qwen-vl-ocr)
AI Doc
Doc Parser</t>
  </si>
  <si>
    <t>2 items not part of JARVIS: DocParser, PAI
15-Sep ARB:  SDR1 approved</t>
  </si>
  <si>
    <t>FUW (Future Underwriting Blueprint) | GenAI Powered-up Underwriting (For AA Team)</t>
  </si>
  <si>
    <t>AI Compoents for AA team</t>
  </si>
  <si>
    <t>Edward/Edward</t>
  </si>
  <si>
    <t>Target: 13 Oct</t>
  </si>
  <si>
    <t xml:space="preserve"> Jan-26</t>
  </si>
  <si>
    <t>Similar to Jarvis
'- Ali Model studio
'- Ali PAI
'- Ali AI Guardrail
'- Alibaba Qwen LLM model, RAG and Vector DB, AI Doc
- ACK Python for AA team
- CI/CD pipeline
- Redis/PostgreSQL
- OSS</t>
  </si>
  <si>
    <t>Dev: workaround feasible, but need to confirm with Jonah</t>
  </si>
  <si>
    <t>FUW (Future Underwriting Blueprint) | One Single View NBUW Platform (NBUWS)</t>
  </si>
  <si>
    <t>STP without human touch
migrate all NB related services to ali</t>
  </si>
  <si>
    <t>Edward/Cayden</t>
  </si>
  <si>
    <t>engaged ETS and Ali in Q2 (before excel kicks-in);
excel request submit date: 30-Jul-25</t>
  </si>
  <si>
    <t>25-May-25 (SDR1)
01-Sep-25 (SDR2)</t>
  </si>
  <si>
    <t>1. Ali Landing zone:
- Account and resource architecture
- RAM Account/Subscription and hierarchy.
- Account policy and role/permissions.
- Resource deployment approach and management policy.
- Tags
- Networking planning and VPC, NSG, Route table creation
- External network connection
- RAM account design and RBAC
- Firewall and DDos , key management
- Compliance baseline
- Monitoring/Alert and log trace system
- CI/CD pipeline(this one can reach out Raymond Li first ).
- DR solution, include container, cluster, DB.
2. ACK setup and governance:
- ACK networking setup(istio, lb)
- ACK cluster setup include dev/sit/uat/prod
- Service access with and authenticate(Istio/RRSA)
- Image Repository(ACR)
3. Ali PaaS Product:
- Event Bridge
- RDS(Sql Server)
- RabbitMQ/RocketMQ(base on use case)
- OSS</t>
  </si>
  <si>
    <r>
      <t>Dev not ready</t>
    </r>
    <r>
      <rPr>
        <sz val="9"/>
        <color rgb="FF000000"/>
        <rFont val="Manulife JH Sans"/>
        <family val="2"/>
      </rPr>
      <t>: if UAT env in Nov is not valid, no ground to use SG Dev.
Option 1 | begins Dev in Jan 2026 - NO, huge schedule impact
Option 2 | pivot to Azure+AWD - given Azure has no Cloudflow</t>
    </r>
  </si>
  <si>
    <r>
      <t>- ePOS (AKS hosted) call IDP, NBUWS &amp; GenAI Ali services.</t>
    </r>
    <r>
      <rPr>
        <b/>
        <sz val="9"/>
        <color rgb="FF000000"/>
        <rFont val="Manulife JH Sans"/>
        <family val="2"/>
      </rPr>
      <t xml:space="preserve">
AKS to call ACK-IDP/FUW - firewall request</t>
    </r>
  </si>
  <si>
    <t>Frederick</t>
  </si>
  <si>
    <t>Edward/Flora</t>
  </si>
  <si>
    <t>- Require for ePOS under Azure to One Platform Ali Cloud
- Require for ePOS to call IDP under Ali Cloud
- Requrie for ePOS to call Gent AI under Ali Cloud
- Dependency with item 4, 5, 6 for Future Underwriting Blueprint</t>
  </si>
  <si>
    <t>Replatform Campaign System (Leads Generation)</t>
  </si>
  <si>
    <r>
      <t>New campaign system.</t>
    </r>
    <r>
      <rPr>
        <b/>
        <sz val="9"/>
        <color rgb="FF000000"/>
        <rFont val="Manulife JH Sans"/>
        <family val="2"/>
      </rPr>
      <t xml:space="preserve"> </t>
    </r>
  </si>
  <si>
    <t>Approved on July 21 2025</t>
  </si>
  <si>
    <t>- Polar DB (PolarDB for PostgreSQL)
- Campaign backend setup with Springboot
- Campaign frontend setup with Angluar / React
- Azure AD authentication
- Redis
- Message queue
- Object Storage Service
- Data Lake / ADF / Databrick injection with Azure Cloud
- Outbound call to external API</t>
  </si>
  <si>
    <t>DB migration from Oracle to PolarDB
CSMS frontend migrate to ACK</t>
  </si>
  <si>
    <t>Yeap/Gary</t>
  </si>
  <si>
    <t>Target: 29 Sep</t>
  </si>
  <si>
    <t>Jan/Feb-26</t>
  </si>
  <si>
    <t xml:space="preserve"> Sep-26</t>
  </si>
  <si>
    <t>- Polar DB (PolarDB for PostgreSQL(Compatible with Oracle))
- CSMS backend setup with Springboot
- CSMS frontend setup with Springboot
- Azure AD authentication
- Redis
- Message queue
- Object Storage Service
- Data Lake / ADF / Databrick injection with Azure Cloud
- Outbound call to external API</t>
  </si>
  <si>
    <t>Tony Lin / Albert</t>
  </si>
  <si>
    <t>ACK</t>
  </si>
  <si>
    <t>MOVE 2.0 backend hosted in Ali</t>
  </si>
  <si>
    <t>Target 10th Nov</t>
  </si>
  <si>
    <t>- ApsaraDB for MongoDB
- MOVE backend setup with Springboot / NodeJS
- MOVE internal frontend setup with Angluar / React
- Public API endpoint for external system callback
- Redis
- Object Storage Service
- Outbound call to external API</t>
  </si>
  <si>
    <t>MCF Gateway and MCF backend</t>
  </si>
  <si>
    <t>ApsaraDB for MongoDB
Redis
Keyvault
RMQ
Public API endpoint
API Gateway
Outbound SMTP call</t>
  </si>
  <si>
    <t>First Drop: Jun 26 (Subject to revise based on vendor finalization)</t>
  </si>
  <si>
    <t>DEV\SIT\UAT</t>
  </si>
  <si>
    <t>PRD</t>
  </si>
  <si>
    <t xml:space="preserve">New Service </t>
  </si>
  <si>
    <t>Not on THR or AI</t>
  </si>
  <si>
    <t>After reviewed with IRA, it could be tested</t>
  </si>
  <si>
    <t>Cannot be used without AI approval and IRA Approval</t>
  </si>
  <si>
    <t>New account(add\change\delete)</t>
  </si>
  <si>
    <t>Approved by ETS-IRA(Aubrey)</t>
  </si>
  <si>
    <t>Enforced</t>
  </si>
  <si>
    <t xml:space="preserve">Application Go Live </t>
  </si>
  <si>
    <t>Apps IRA Approved(Sunny) *Includes Penetration test, DAST and etc</t>
  </si>
  <si>
    <t>CHG approved with IRA approved evidence</t>
  </si>
  <si>
    <t>Follow same Manulife standards</t>
  </si>
  <si>
    <r>
      <rPr>
        <b/>
        <sz val="9"/>
        <color rgb="FF000000"/>
        <rFont val="Manulife JH Sans"/>
        <family val="2"/>
      </rPr>
      <t xml:space="preserve">Updated as at: </t>
    </r>
    <r>
      <rPr>
        <b/>
        <sz val="9"/>
        <color rgb="FFFF0000"/>
        <rFont val="Manulife JH Sans"/>
        <family val="2"/>
      </rPr>
      <t>24 Sep</t>
    </r>
  </si>
  <si>
    <t>Alice Zhao</t>
  </si>
  <si>
    <r>
      <t>AI Compoents for AA team</t>
    </r>
    <r>
      <rPr>
        <b/>
        <sz val="9"/>
        <color rgb="FF000000"/>
        <rFont val="Manulife JH Sans"/>
        <family val="2"/>
      </rPr>
      <t xml:space="preserve">
Similar as Jarvis - utilizing existing resources</t>
    </r>
  </si>
  <si>
    <t>Same as Jarvis</t>
  </si>
  <si>
    <t>STP without human touch
migrate all NB related services to Ali</t>
  </si>
  <si>
    <t>SIT: 30-Oct-25
UAT: 10-Nov-25</t>
  </si>
  <si>
    <t>DCS Revamp</t>
  </si>
  <si>
    <t>Kelvin Mak</t>
  </si>
  <si>
    <t>Vendor solution (Deploy in our AKS/ACK)</t>
  </si>
  <si>
    <r>
      <t>K8S, PSQL, Redis, CDN(Akamai)</t>
    </r>
    <r>
      <rPr>
        <b/>
        <sz val="9"/>
        <color rgb="FF000000"/>
        <rFont val="Manulife JH Sans"/>
        <family val="2"/>
      </rPr>
      <t xml:space="preserve">
Internet facing</t>
    </r>
  </si>
  <si>
    <t>Approved By(Harry for ETS Arch Team and Benson for HK Approval)</t>
  </si>
  <si>
    <t>Apps change for NBUW Platform</t>
  </si>
  <si>
    <t>Apps change for NBUW Platform(Enterprise Oct-2025 ready at Ali-HK)</t>
  </si>
  <si>
    <t>CloudFlow</t>
  </si>
  <si>
    <t>SG only (HK starts testing at end of Aug - Jeff\Derek)</t>
  </si>
  <si>
    <t>New App - NBUW target go live (Prod) in Nov 2025</t>
  </si>
  <si>
    <t>New App</t>
  </si>
  <si>
    <t>Kenneth</t>
  </si>
  <si>
    <t>New App - Agency Printing (Dev Nov 25, Prod Mar 26)</t>
  </si>
  <si>
    <t>New App - ODS</t>
  </si>
  <si>
    <t>Michael Cheng</t>
  </si>
  <si>
    <t>IDP</t>
  </si>
  <si>
    <t>Joe Kung</t>
  </si>
  <si>
    <t>create workspace following resource name "mfc modelstudio-dev-uw", enable model “qwen-max” and “qwen-plus” and “qwen-vl-max“, grant access to RAM role and workspace</t>
  </si>
  <si>
    <t>Ali Model Studio</t>
  </si>
  <si>
    <t>Provision RabbitMQ for IDP env</t>
  </si>
  <si>
    <t>RabbitMQ</t>
  </si>
  <si>
    <t>ARM approved on 27 Oct 25</t>
  </si>
  <si>
    <t>Submitted Date</t>
  </si>
  <si>
    <t xml:space="preserve">Submitted By </t>
  </si>
  <si>
    <t>Request for</t>
  </si>
  <si>
    <t>Envoirnments</t>
  </si>
  <si>
    <t>Rights for Ali Services</t>
  </si>
  <si>
    <t>IRM approval</t>
  </si>
  <si>
    <t>Handle By</t>
  </si>
  <si>
    <t>Complete Date</t>
  </si>
  <si>
    <t>ETS comment</t>
  </si>
  <si>
    <t>Kenneth Lai</t>
  </si>
  <si>
    <t xml:space="preserve">IDass - Common Account </t>
  </si>
  <si>
    <t>Dev, Test</t>
  </si>
  <si>
    <t>ACK, PostgreSQL, MongoDB (R,W,X),Model Studio, ADB</t>
  </si>
  <si>
    <t>Louis Tang</t>
  </si>
  <si>
    <t>Submitted</t>
  </si>
  <si>
    <t>-</t>
  </si>
  <si>
    <t>Alan</t>
  </si>
  <si>
    <t>IDass - Common Account</t>
  </si>
  <si>
    <t>Jerry Chan</t>
  </si>
  <si>
    <t>ACK, PostgreSQL, OSS (R,W,X)</t>
  </si>
  <si>
    <t>Kelvin Chan</t>
  </si>
  <si>
    <t>Teresa Cheung</t>
  </si>
  <si>
    <t>ACK, Model Studio, MongoDB, ADB</t>
  </si>
  <si>
    <t>Bill Fu</t>
  </si>
  <si>
    <t>Darren Du</t>
  </si>
  <si>
    <t>Richard Yu</t>
  </si>
  <si>
    <t>ACK, PostgreSQL, RocketMQ</t>
  </si>
  <si>
    <t>Ka Fai Lo</t>
  </si>
  <si>
    <t>ACK, Model Studio, ADB</t>
  </si>
  <si>
    <t>Trigger Build / Publish / Deploy Pipeline on Jenkins</t>
  </si>
  <si>
    <t>Dev, Test, Prod</t>
  </si>
  <si>
    <t>Jenkins (Azure)</t>
  </si>
  <si>
    <t>Dennis to follow</t>
  </si>
  <si>
    <t>Dennis to chk with Jomer/ Reymond Li, if existing env account follow existing process</t>
  </si>
  <si>
    <t>Trigger Build / Publish Pipeline on Jenkins</t>
  </si>
  <si>
    <t>Terence Leung</t>
  </si>
  <si>
    <t>ACK, KMS</t>
  </si>
  <si>
    <t>Tiffany GUO</t>
  </si>
  <si>
    <t>ACK, Model Studio, ADB, MongoDB, OSS (R,W,X), Functions Compute, Event Bridge, API Gateway, PAI, AI Doc (if available), AI Guardrails</t>
  </si>
  <si>
    <t>Jason Chan</t>
  </si>
  <si>
    <t>PAI, AL Doc, AI Guardrails - To be confirmed(Ken)</t>
  </si>
  <si>
    <t>PostgreSQL, MongoDB (R)</t>
  </si>
  <si>
    <t>Matthew Poon</t>
  </si>
  <si>
    <t>Winky Bok</t>
  </si>
  <si>
    <t>Michelle Yau</t>
  </si>
  <si>
    <t>ACK, MongoDB</t>
  </si>
  <si>
    <t>Arya Chang</t>
  </si>
  <si>
    <t>Jarvis CD IT</t>
  </si>
  <si>
    <t>Jarvis CD IT, Dennis to chk with Jomer/ Reymond Li, if existing env account follow existing process</t>
  </si>
  <si>
    <t>Daniel Li</t>
  </si>
  <si>
    <t>Dylan Liu</t>
  </si>
  <si>
    <t>Aurora Yang</t>
  </si>
  <si>
    <t>Jack Huang</t>
  </si>
  <si>
    <t>Saken Gazezov</t>
  </si>
  <si>
    <t>Castiel Tong</t>
  </si>
  <si>
    <t>Jason Peng</t>
  </si>
  <si>
    <t>Approved for SIT and Dev only</t>
  </si>
  <si>
    <t>Ang</t>
  </si>
  <si>
    <t>NB CD IT</t>
  </si>
  <si>
    <t>Aden Zhang</t>
  </si>
  <si>
    <t>Jack Deng</t>
  </si>
  <si>
    <t>Victor Wu</t>
  </si>
  <si>
    <t xml:space="preserve"> CloudFlow,ACK, ADB, MongoDB,PolarDB,OSS (R,W,X), Functions Compute, Event Bridge, API Gateway,VPC(R),ARMS,SLS</t>
  </si>
  <si>
    <t>CloudFlow,ACK, ADB, MongoDB,PolarDB,OSS (R,W,X), Functions Compute, Event Bridge, API Gateway,VPC(R),ARMS,SLS</t>
  </si>
  <si>
    <t>CloudFlow,ACK,Functions Compute, Event Bridge</t>
  </si>
  <si>
    <t>David Yang</t>
  </si>
  <si>
    <t>NB HK IT</t>
  </si>
  <si>
    <t>Scott li</t>
  </si>
  <si>
    <t>ACK,ARMS,SLS</t>
  </si>
  <si>
    <t>v</t>
  </si>
  <si>
    <t>ESS CD IT</t>
  </si>
  <si>
    <t>CloudFlow, Funtions Compute, Event Bridge are not in App requirement scope, please connect with Kenneth for approval</t>
  </si>
  <si>
    <t>Ian Cheng</t>
  </si>
  <si>
    <t>Zero Mu</t>
  </si>
  <si>
    <t>ACK, ARMS,SLS,API GateWay, CloudFlow, Funtions Compute, Event Bridge</t>
  </si>
  <si>
    <t>HK DevOps</t>
  </si>
  <si>
    <t>Kiy Deng</t>
  </si>
  <si>
    <t>Eason Liu</t>
  </si>
  <si>
    <t>Bocheng yang</t>
  </si>
  <si>
    <t>Kenneth ng</t>
  </si>
  <si>
    <t>Kenneth Ng</t>
  </si>
  <si>
    <t>IDass - Common Account(Jarvis)</t>
  </si>
  <si>
    <t>Read only - ADB, MongoDB, PolarDB, PostgreSQL, OSS, RocketMQ/RabbitMQ</t>
  </si>
  <si>
    <t>Model Studio, AI Guardrails</t>
  </si>
  <si>
    <t>Edward Kan</t>
  </si>
  <si>
    <t>Regional Asia Data Office team</t>
  </si>
  <si>
    <t>Zane Dai</t>
  </si>
  <si>
    <t>DCS Project - CD IT</t>
  </si>
  <si>
    <t>Tanner Zhang</t>
  </si>
  <si>
    <t>Lin Xu</t>
  </si>
  <si>
    <t>Yancey Wu</t>
  </si>
  <si>
    <t>Kiki Zeng</t>
  </si>
  <si>
    <t>Tiffany Guo</t>
  </si>
  <si>
    <t>ACK, ARMS, API GateWay, AliCloud portal, PolarDB, RDS for postgreSQL, RabbitMQ, KMS</t>
  </si>
  <si>
    <t>Arjay Nacion</t>
  </si>
  <si>
    <t>Jonathan Quintal</t>
  </si>
  <si>
    <t>Eugene Alvizo</t>
  </si>
  <si>
    <t>Himanshu Sharmar</t>
  </si>
  <si>
    <t>Dylan He</t>
  </si>
  <si>
    <t>Simon Yan</t>
  </si>
  <si>
    <t>Bo Gou</t>
  </si>
  <si>
    <t>Ali Model Studio - Account creation, Access</t>
  </si>
  <si>
    <t>Jeremy Wu</t>
  </si>
  <si>
    <t>Create Ali account for wujerem@mfcgd.com and grant access to the model studio in the workspace named mfc modelstudio-dev-uw</t>
  </si>
  <si>
    <t>Notes:</t>
  </si>
  <si>
    <t>This request covers only Dev and SIT environment. UAT and Prod access will follow new process (TBA)</t>
  </si>
  <si>
    <t>Once completed the form please get approval from Aubrey Li （黎勉）</t>
  </si>
  <si>
    <t>S.NO</t>
  </si>
  <si>
    <t>Alicloud services</t>
  </si>
  <si>
    <t>Group</t>
  </si>
  <si>
    <r>
      <t>#3: IDP Solution</t>
    </r>
    <r>
      <rPr>
        <b/>
        <i/>
        <sz val="9"/>
        <color rgb="FFFFFFFF"/>
        <rFont val="Aptos Narrow"/>
        <family val="2"/>
      </rPr>
      <t xml:space="preserve">
Jason Chan</t>
    </r>
  </si>
  <si>
    <r>
      <t xml:space="preserve">#4: FUW (Future Underwriting Blueprint) | GenAI Powered-up Underwriting
</t>
    </r>
    <r>
      <rPr>
        <b/>
        <i/>
        <sz val="9"/>
        <color rgb="FFFFFFFF"/>
        <rFont val="Aptos Narrow"/>
        <family val="2"/>
      </rPr>
      <t>Charles Ngo</t>
    </r>
  </si>
  <si>
    <r>
      <rPr>
        <b/>
        <sz val="9"/>
        <color rgb="FFFFFFFF"/>
        <rFont val="Aptos Narrow"/>
        <family val="2"/>
      </rPr>
      <t xml:space="preserve">#5: FUW (Future Underwriting Blueprint) | One Single View NBUW Platform (NBUWS)
</t>
    </r>
    <r>
      <rPr>
        <b/>
        <i/>
        <sz val="9"/>
        <color rgb="FFFFFFFF"/>
        <rFont val="Aptos Narrow"/>
        <family val="2"/>
      </rPr>
      <t>Charles Ngo</t>
    </r>
  </si>
  <si>
    <r>
      <t>CAS-MOD</t>
    </r>
    <r>
      <rPr>
        <b/>
        <i/>
        <sz val="9"/>
        <color rgb="FFFFFFFF"/>
        <rFont val="Aptos Narrow"/>
        <family val="2"/>
      </rPr>
      <t xml:space="preserve">
Ka Fai</t>
    </r>
  </si>
  <si>
    <t>#23: NBUW/FUW (Future Underwriting Blueprint) | GenAI Powered-up Underwriting (For AA Team) - July Tech Launch
Charles Ngo</t>
  </si>
  <si>
    <t>Model Studio (SG)
- AI Guardrail
- Qwen Max 2.5\LLM</t>
  </si>
  <si>
    <t>AI Services</t>
  </si>
  <si>
    <t>ClousdSSO</t>
  </si>
  <si>
    <t>Core - Identity</t>
  </si>
  <si>
    <t>IDaaS
- Resource access management (RAM)</t>
  </si>
  <si>
    <t>Infrastructure
- NAT Gateway
- Virtual private cloud (VPC)
- ResourceManager
- Cloud Config
- Elastic IP (EIP)</t>
  </si>
  <si>
    <t>Core - Infra</t>
  </si>
  <si>
    <t>Resource Orchestration Service (ROS)</t>
  </si>
  <si>
    <t>Load Balancer
- Application Load Balancer (ALB)
- Network Load Balancer (NLB)
- Server load balancer (SLB)</t>
  </si>
  <si>
    <t>Core - Network</t>
  </si>
  <si>
    <t>Cloud DNS PrivateZone</t>
  </si>
  <si>
    <t>Cloud Enterprise Network (CEN)</t>
  </si>
  <si>
    <t>Cloud Firewall (CFW)</t>
  </si>
  <si>
    <t>Cloud Transit Router (TR)</t>
  </si>
  <si>
    <t>ExpressConnect</t>
  </si>
  <si>
    <t>Global Traffic Manager (GTM)</t>
  </si>
  <si>
    <t>Web Application Firewall (WAF)</t>
  </si>
  <si>
    <t>Elastic Compute Service (ECS)
- Elastic Block Storage (EBS)</t>
  </si>
  <si>
    <t>Core - Compute</t>
  </si>
  <si>
    <t>ActionTrail</t>
  </si>
  <si>
    <t>Core - Observability</t>
  </si>
  <si>
    <t>CloudMonitor</t>
  </si>
  <si>
    <t>Application real time monitoring service (ARMS)
- Grafana
- Prometheus</t>
  </si>
  <si>
    <t>Function Compute (FC)</t>
  </si>
  <si>
    <t>Simple Log Service (SLS)</t>
  </si>
  <si>
    <t>Anti-DDoS</t>
  </si>
  <si>
    <t>Core - Security</t>
  </si>
  <si>
    <t>Data Security Center</t>
  </si>
  <si>
    <t>Apsara File Storage NAS (NAS)</t>
  </si>
  <si>
    <t>Core - Storage</t>
  </si>
  <si>
    <t>Key management service (KMS)</t>
  </si>
  <si>
    <t>Object Storage Service (OSS)</t>
  </si>
  <si>
    <t>Y
(on Day 15)</t>
  </si>
  <si>
    <t>Hybrid Backup Recovery (Cloud Backup)</t>
  </si>
  <si>
    <t>AnalyticsDB (ADB)</t>
  </si>
  <si>
    <t>Database</t>
  </si>
  <si>
    <t>ApsaraDB for MongoDB</t>
  </si>
  <si>
    <t>ApsaraDB for Redis</t>
  </si>
  <si>
    <t>ApsaraDB RDS
- ApsaraDB RDS for PostgreSQL
- ApsaraDB RDS for SQL Server</t>
  </si>
  <si>
    <t>Y
(only PostgreSQL)</t>
  </si>
  <si>
    <t>Data Management (DMS)</t>
  </si>
  <si>
    <t>Data transmission service (DTS)</t>
  </si>
  <si>
    <t>EventBridge</t>
  </si>
  <si>
    <t>Middleware</t>
  </si>
  <si>
    <t>PolarDB</t>
  </si>
  <si>
    <t>DAS</t>
  </si>
  <si>
    <t>Elastic Desktop Service (EDS/ Cloud PC)</t>
  </si>
  <si>
    <t>End-user</t>
  </si>
  <si>
    <t>Y
To confirm if Jarvis has it</t>
  </si>
  <si>
    <r>
      <rPr>
        <sz val="9"/>
        <color rgb="FF000000"/>
        <rFont val="Aptos Narrow"/>
        <family val="2"/>
      </rPr>
      <t xml:space="preserve">ApsaraMQ
- </t>
    </r>
    <r>
      <rPr>
        <sz val="9"/>
        <color rgb="FFFF0000"/>
        <rFont val="Aptos Narrow"/>
        <family val="2"/>
      </rPr>
      <t xml:space="preserve">ApsaraMQ for Kafka
- </t>
    </r>
    <r>
      <rPr>
        <sz val="9"/>
        <color rgb="FF000000"/>
        <rFont val="Aptos Narrow"/>
        <family val="2"/>
      </rPr>
      <t xml:space="preserve">ApsaraMQ for RabbitMQ
</t>
    </r>
    <r>
      <rPr>
        <sz val="9"/>
        <color rgb="FFFF0000"/>
        <rFont val="Aptos Narrow"/>
        <family val="2"/>
      </rPr>
      <t>- ApsaraMQ for RocketMQ (TBC)</t>
    </r>
  </si>
  <si>
    <t>Message Queue</t>
  </si>
  <si>
    <t>Y
RocketMQ</t>
  </si>
  <si>
    <t>API Gateway</t>
  </si>
  <si>
    <t>Platform</t>
  </si>
  <si>
    <t>Cloud Service Mesh</t>
  </si>
  <si>
    <t>Container Registry (ACR)</t>
  </si>
  <si>
    <t>Container Service for Kubernetes(ACK)</t>
  </si>
  <si>
    <t>Dataworks</t>
  </si>
  <si>
    <t>EDL</t>
  </si>
  <si>
    <t>MaxCompute</t>
  </si>
  <si>
    <t>Scheduler X</t>
  </si>
  <si>
    <t>App</t>
  </si>
  <si>
    <t>CloudFlow (SG, Nov 2025 in HK)</t>
  </si>
  <si>
    <t>Workflow</t>
  </si>
  <si>
    <t>Flink</t>
  </si>
  <si>
    <t>Hologres</t>
  </si>
  <si>
    <t>PAI (for classification of image)</t>
  </si>
  <si>
    <t>Doc Parser</t>
  </si>
  <si>
    <t>PrivateLink</t>
  </si>
  <si>
    <t>Qwen Suite of Models ((Qwen-vl-max))</t>
  </si>
  <si>
    <t>Priority Set</t>
  </si>
  <si>
    <t>DEV/SIT - Available Date</t>
  </si>
  <si>
    <t>UAT - Available Date</t>
  </si>
  <si>
    <t>PRD - Available Date</t>
  </si>
  <si>
    <t>DCS (HK)
Kelvin Chan</t>
  </si>
  <si>
    <t>Jarvis (HK)
Louis Tang</t>
  </si>
  <si>
    <t>ATAS (GF)</t>
  </si>
  <si>
    <t>Infor (GF)</t>
  </si>
  <si>
    <t>ODS (HK) - TBD
Michael Cheng</t>
  </si>
  <si>
    <t>NBUW (HK)
Charles Ngo</t>
  </si>
  <si>
    <t>CAS (HK)
Ka Fai</t>
  </si>
  <si>
    <t>IRA Status</t>
  </si>
  <si>
    <t>DEV/SIT
Readiness</t>
  </si>
  <si>
    <t>UAT
Readiness</t>
  </si>
  <si>
    <t>PRD
Readiness</t>
  </si>
  <si>
    <t>THR Readiness</t>
  </si>
  <si>
    <t>THR WIP</t>
  </si>
  <si>
    <t>ETS Comment</t>
  </si>
  <si>
    <t>12\13</t>
  </si>
  <si>
    <t>Can not be used in all env</t>
  </si>
  <si>
    <t>Not Approved on AliCloud</t>
  </si>
  <si>
    <t>Requested</t>
  </si>
  <si>
    <t>6\21</t>
  </si>
  <si>
    <t>PA Firewall</t>
  </si>
  <si>
    <t>Firewall</t>
  </si>
  <si>
    <t>9\22</t>
  </si>
  <si>
    <t>Model Studio (SG)
- qwen3-vl-plus, qwen-vl-max, qwen-vl-max-0813, qwen3-vl-plus-2025-09-23</t>
  </si>
  <si>
    <t>&lt;New Request&gt;</t>
  </si>
  <si>
    <t>AI need approval before using at AliCloud</t>
  </si>
  <si>
    <t>Model Studio (SG)
- Qwen Max 2.5\LLM</t>
  </si>
  <si>
    <t>new</t>
  </si>
  <si>
    <t>Model Studio (SG)
- AI Guardrail</t>
  </si>
  <si>
    <t>IRA review needed on PRD</t>
  </si>
  <si>
    <t>Load Balancer
- Application Load Balancer (ALB)
- Network Load Balancer (NLB)
- Classic load balancer (CLB)</t>
  </si>
  <si>
    <t>19\19</t>
  </si>
  <si>
    <t>16\16</t>
  </si>
  <si>
    <t>10\11</t>
  </si>
  <si>
    <t>Recheck with Kenneth</t>
  </si>
  <si>
    <t>18/18</t>
  </si>
  <si>
    <t>(Covered in DB)</t>
  </si>
  <si>
    <t>0/68</t>
  </si>
  <si>
    <t>Reject</t>
  </si>
  <si>
    <t>Not required</t>
  </si>
  <si>
    <t>Use Artifactory</t>
  </si>
  <si>
    <t>14\14</t>
  </si>
  <si>
    <t>0\68</t>
  </si>
  <si>
    <t>Cloud Storage Gateway</t>
  </si>
  <si>
    <t>ApsaraMQ
- ApsaraMQ for Kafka
- ApsaraMQ for RabbitMQ
- ApsaraMQ for RocketMQ</t>
  </si>
  <si>
    <t xml:space="preserve">
</t>
  </si>
  <si>
    <t>3\17</t>
  </si>
  <si>
    <t>AnalyticsDB (ADB) with Qwen3-Embedding-8B</t>
  </si>
  <si>
    <t>14/14</t>
  </si>
  <si>
    <t>Column A-D are locked to prevent accidental update. 
Please connect with Dennis Mak if modification is required.</t>
  </si>
  <si>
    <t>SG - Production Requirement is to have "No internet facing and hardening(THR)" [hardening guideline could be provided by IRM team first before THR]</t>
  </si>
  <si>
    <t>Note:
If new Ali resource type is required. Please contact Kenneth Lai (HK Team) and Dennis Mak (ETS Team).</t>
  </si>
  <si>
    <t>Priority reference</t>
  </si>
  <si>
    <t>1 - Core foundation</t>
  </si>
  <si>
    <t>2 - Compete before App go live (Prod) in Nov</t>
  </si>
  <si>
    <t>3 - Complete before App go live (Prod) in Dec</t>
  </si>
  <si>
    <t>4 - 5 - No use case</t>
  </si>
  <si>
    <t>LLM Approval(https://mfc.sharepoint.com/sites/GDTSRGovernance/Lists/Foundation%20LLM%20Evaluation/AllItems.aspx?viewid=901da1ca%2Da1f1%2D44a7%2Da375%2D678527d2e039&amp;e=OHcFh6&amp;ovuser=5d3e2773%2De07f%2D4432%2Da630%2D1a0f68a28a05%2Clihelel%40MFCGD%2Ecom&amp;OR=Teams%2DHL&amp;CT=1753665454750&amp;clickparams=eyJBcHBOYW1lIjoiVGVhbXMtRGVza3RvcCIsIkFwcFZlcnNpb24iOiI0OS8yNTA3MDMxODgwOSIsIkhhc0ZlZGVyYXRlZFVzZXIiOmZhbHNlfQ%3D%3D&amp;CID=830cb6a1%2D1032%2D9000%2Dceed%2Dc49f271e9d9c&amp;cidOR=SPO)</t>
  </si>
  <si>
    <r>
      <t xml:space="preserve">Use case or Prompt Enginnering  – </t>
    </r>
    <r>
      <rPr>
        <sz val="11"/>
        <color theme="1"/>
        <rFont val="Calibri"/>
        <family val="2"/>
      </rPr>
      <t>needs MRM review by AA to make sure there is no security issue with privacy, data leakage and fairness etc</t>
    </r>
    <r>
      <rPr>
        <b/>
        <sz val="11"/>
        <color theme="1"/>
        <rFont val="Calibri"/>
        <family val="2"/>
      </rPr>
      <t>(ADO and AA team)</t>
    </r>
  </si>
  <si>
    <r>
      <t>Foundation LLM Evaluation</t>
    </r>
    <r>
      <rPr>
        <sz val="11"/>
        <color theme="1"/>
        <rFont val="Calibri"/>
        <family val="2"/>
      </rPr>
      <t>: The new foundation LLM must meet the benchmark on a predefined list of GenAI tasks established by the Global team</t>
    </r>
    <r>
      <rPr>
        <b/>
        <sz val="11"/>
        <color theme="1"/>
        <rFont val="Calibri"/>
        <family val="2"/>
      </rPr>
      <t>(Eugene Wen, Global Data Technology )</t>
    </r>
  </si>
  <si>
    <t>qwen3-vl-plus, qwen-vl-max, qwen-vl-max-0813, qwen3-vl-plus-2025-09-23</t>
  </si>
  <si>
    <t>LLM</t>
  </si>
  <si>
    <t>1) Base model approval: Process image: Ask Global AI Team what is the process for approval. Current playbook has no image task(Jonah)(ETA: 4 days)</t>
  </si>
  <si>
    <t>Embedded</t>
  </si>
  <si>
    <t>2) ADO evalation(ETA:)</t>
  </si>
  <si>
    <t>3) After approved before go live, use case of MRM approval is required . Some comparison with new model(some base model v4.1)(AI team will provide benchmark)(ETA:)</t>
  </si>
  <si>
    <t>4) Archer is required involved busines( Regional - BUSO)(Business owner:Barry)(MAT)</t>
  </si>
  <si>
    <t>AI platform access</t>
  </si>
  <si>
    <t>access to submit in SNow(AliCloud)</t>
  </si>
  <si>
    <t>AI platform test</t>
  </si>
  <si>
    <t>POT to test new AI -&gt; DEV -&gt; SIT-&gt; UAT-&gt; PRD</t>
  </si>
  <si>
    <t>*For evaluation on POT, we can only use synthetic or public data. Let's make sure this is true in case Global is providing new dataset for evaluating VL</t>
  </si>
  <si>
    <t>Step(LLM Approval managed by ADO)</t>
  </si>
  <si>
    <t>Start</t>
  </si>
  <si>
    <t>End</t>
  </si>
  <si>
    <t>What</t>
  </si>
  <si>
    <t>How</t>
  </si>
  <si>
    <t>Readiness of VL: Cecilia: 20-Dec on UAT</t>
  </si>
  <si>
    <t>Base model review(Foundation LLM Capability Evaluation)</t>
  </si>
  <si>
    <t>Jonah</t>
  </si>
  <si>
    <t>To confirm if additiional work required(Early next week)</t>
  </si>
  <si>
    <t>ADO evaluation(Platform)</t>
  </si>
  <si>
    <t>Edward</t>
  </si>
  <si>
    <t>Submit to ADO</t>
  </si>
  <si>
    <t>Obtain Global Data Office(Vivian)</t>
  </si>
  <si>
    <t>Enable of qwen3-vl-plus, qwen-vl-max, qwen-vl-max-0813, qwen3-vl-plus-2025-09-23</t>
  </si>
  <si>
    <t>Business to raise MAT for risk rating</t>
  </si>
  <si>
    <t>Barry</t>
  </si>
  <si>
    <t>MAT</t>
  </si>
  <si>
    <t>Acceptanace Criteria</t>
  </si>
  <si>
    <t>Use Case of MRM approval</t>
  </si>
  <si>
    <t>embedded model on DB</t>
  </si>
  <si>
    <t>Edward to get clarify</t>
  </si>
  <si>
    <t>Target Date</t>
  </si>
  <si>
    <t>Handled By</t>
  </si>
  <si>
    <t>MFCGCR</t>
  </si>
  <si>
    <t>waiting for dev and sit domain on Ali. (target July 31). cannot use IP to test AKS-&gt; ACK  (To be confirmed for MFCGCR, Derek Lau).
31 Jul - Workaournd (updateing the https host header) confirmed working ok by Louis, perm DNS forwarder will be impl 1 Aug 9pm HKT.</t>
  </si>
  <si>
    <t>Closed</t>
  </si>
  <si>
    <t>Derek</t>
  </si>
  <si>
    <t>Timeline to have AD go live(Workaround to setup local account for DEV)
MFCGD forwarding will need to open at 3-Aug</t>
  </si>
  <si>
    <t>ACK to AKS firewall not open yet
1) AKS to ACK ALB - Firewall req submitted. (by 31 Jul)
2) ACK to AKS APIM - To built Egress on AliCloud and open firewall (by 31 Jul)</t>
  </si>
  <si>
    <t>Kenneth
Derek
Elliott</t>
  </si>
  <si>
    <t>Working on firewall request and planned for tomorrow</t>
  </si>
  <si>
    <t xml:space="preserve">ACK UAT env not available yet 
1) UAT - 18 Aug ? (Requirement?)
2) Prod - </t>
  </si>
  <si>
    <t>Jeff</t>
  </si>
  <si>
    <t>DEV and SIT are ready. UAT/PRD will discuss required date</t>
  </si>
  <si>
    <t>local env (from MFC, MT, Chendu offices) connect to Ali, need to open firewall ( Kenneth Lai, pls submit firewall and share the CHG number)
(To provide more details for troubleshooting)</t>
  </si>
  <si>
    <t>Terry</t>
  </si>
  <si>
    <t xml:space="preserve">RITM08768476 – HK and CD Office to Ali ALB (Dev, SIT) scheduled at 25-Jul-2025
</t>
  </si>
  <si>
    <t>Artifactory</t>
  </si>
  <si>
    <t>To replace Ali ACR by Artifactory for deployment by 31-Jul.
Allow ACR as temp work arround only in Dev. Delete ACR once Artifactory is ready</t>
  </si>
  <si>
    <t>Elliott</t>
  </si>
  <si>
    <t>Raymond\Jomer</t>
  </si>
  <si>
    <t>RITM08774687 will be implemented tomorrow</t>
  </si>
  <si>
    <t>Production Support Access</t>
  </si>
  <si>
    <t>OSS - how to control the permission on folder level, need allow support staff to view the content. Waiting Jeff Wang to share</t>
  </si>
  <si>
    <t>Derek / Jeff</t>
  </si>
  <si>
    <t>Lamer</t>
  </si>
  <si>
    <t xml:space="preserve">PostgreSQL- confirm how to do the setup for production support with read access on the specified tables in the database.
As mentioned by Jeff, there is a blocker in Cyberark and Alicloud integration
</t>
  </si>
  <si>
    <t>Lamer(non prod can use local admin)(UAT and PRD can be used in enxt week)</t>
  </si>
  <si>
    <t>ACK DEV cannot connect DB and Redis</t>
  </si>
  <si>
    <t>This is expected result due to egress control is enabled. Connected with Lamar and requested him to provide URL or required services for white list.</t>
  </si>
  <si>
    <t>Gateway</t>
  </si>
  <si>
    <t>DEV Gateway memory is limit to process LUA scripts to handle url re-write</t>
  </si>
  <si>
    <t>Jeff / Ang</t>
  </si>
  <si>
    <t>Cant display some pages(Lamar)</t>
  </si>
  <si>
    <t>Opened</t>
  </si>
  <si>
    <t>Env</t>
  </si>
  <si>
    <t>Networkguardian #</t>
  </si>
  <si>
    <t>RITM #</t>
  </si>
  <si>
    <t>Description</t>
  </si>
  <si>
    <t>Requester</t>
  </si>
  <si>
    <t>Remark</t>
  </si>
  <si>
    <t>1754898472875</t>
  </si>
  <si>
    <t>RITM08842844</t>
  </si>
  <si>
    <t>HK and CD VPN to access AliCloud ETS jumphost</t>
  </si>
  <si>
    <t>Derek Lau</t>
  </si>
  <si>
    <t>1754897301509</t>
  </si>
  <si>
    <t>RITM08842843</t>
  </si>
  <si>
    <t>HK, CD Office to connect AliCloud ETS jump host</t>
  </si>
  <si>
    <t>1754990918919</t>
  </si>
  <si>
    <t>RITM08854732</t>
  </si>
  <si>
    <t>Azure AKS Pod -&gt; Ali ALB (ALB)</t>
  </si>
  <si>
    <t>Marius Ramos</t>
  </si>
  <si>
    <t>1754994701206</t>
  </si>
  <si>
    <t>RITM08854650</t>
  </si>
  <si>
    <t>Ali ACK (Egress) to AKS APIM</t>
  </si>
  <si>
    <t>1755079023952</t>
  </si>
  <si>
    <t>RITM08854550</t>
  </si>
  <si>
    <t>ACK connect to DBs, MQ, Radis</t>
  </si>
  <si>
    <t>Ang Gao</t>
  </si>
  <si>
    <t>Dev</t>
  </si>
  <si>
    <t>1755065928746</t>
  </si>
  <si>
    <t>RITM08854548</t>
  </si>
  <si>
    <t>RSF Rabbit port5671 for VPN</t>
  </si>
  <si>
    <t>1754982182042</t>
  </si>
  <si>
    <t>RITM08844351</t>
  </si>
  <si>
    <t>ACK Defender install</t>
  </si>
  <si>
    <t>1755146079550</t>
  </si>
  <si>
    <t>RITM08851164</t>
  </si>
  <si>
    <t>Allow Alicloud UAT ACK cluster connect to Asia Artifactory</t>
  </si>
  <si>
    <t>Raymond Li</t>
  </si>
  <si>
    <t>1755145381271</t>
  </si>
  <si>
    <t>RITM08850866</t>
  </si>
  <si>
    <t>Allow Asia Jenkins connect to Alicloud UAT ACK cluster</t>
  </si>
  <si>
    <t>1755142481908</t>
  </si>
  <si>
    <t>RITM08854722</t>
  </si>
  <si>
    <t>Office (HK/CD) to ACK UAT API Server</t>
  </si>
  <si>
    <t>1755144005525</t>
  </si>
  <si>
    <t>RITM08855093</t>
  </si>
  <si>
    <t>VPN (HK/CD) to ACK UAT API Server</t>
  </si>
  <si>
    <t>1755144139863</t>
  </si>
  <si>
    <t>RITM08855096</t>
  </si>
  <si>
    <t>VPN (HK/CD) to ACK DEV API Server</t>
  </si>
  <si>
    <t>1755144349393</t>
  </si>
  <si>
    <t>RITM08855107</t>
  </si>
  <si>
    <t>VPN (HK/CD) to ACK SIT API Server</t>
  </si>
  <si>
    <t>1755141026251</t>
  </si>
  <si>
    <t>RITM08854591</t>
  </si>
  <si>
    <t>CD Office to connect AliCloud Mongo DB</t>
  </si>
  <si>
    <t>Euphonia Fung</t>
  </si>
  <si>
    <t>1754982639623</t>
  </si>
  <si>
    <t>RITM08846467</t>
  </si>
  <si>
    <t>1755159386445</t>
  </si>
  <si>
    <t>RITM08854618</t>
  </si>
  <si>
    <t>Office (HK, CD) to connect ACK via ALB</t>
  </si>
  <si>
    <t>1755159811552</t>
  </si>
  <si>
    <t>RITM08855298</t>
  </si>
  <si>
    <t>VPN (HK, CD) to connect ACK via ALB</t>
  </si>
  <si>
    <t>1755503275563</t>
  </si>
  <si>
    <t>RITM08861988</t>
  </si>
  <si>
    <t>Dev ACK egress Target: Ali LLM VPC</t>
  </si>
  <si>
    <t>1755597047640</t>
  </si>
  <si>
    <t>RITM08874673</t>
  </si>
  <si>
    <t>MAC VPN (HK) to Jumphost, RSF resources</t>
  </si>
  <si>
    <t>Prod</t>
  </si>
  <si>
    <t>1755681842776</t>
  </si>
  <si>
    <t>RITM08870739</t>
  </si>
  <si>
    <t>Ali (All subnet) to Defender endpoint</t>
  </si>
  <si>
    <t>1756112068485</t>
  </si>
  <si>
    <t>RITM08894845</t>
  </si>
  <si>
    <t>ACK(Dev) to connect to ADB (Database + Embedding AI)</t>
  </si>
  <si>
    <t>Lee Li</t>
  </si>
  <si>
    <t>1756110788055</t>
  </si>
  <si>
    <t>RITM08894853</t>
  </si>
  <si>
    <t>Office (HK, CD) to connect  ADB (Dev)</t>
  </si>
  <si>
    <t>1756111040607</t>
  </si>
  <si>
    <t>RITM08894540</t>
  </si>
  <si>
    <t>VPN (HK, CD) to connect  ADB (Dev)</t>
  </si>
  <si>
    <t>1756116206484</t>
  </si>
  <si>
    <t>RITM08893390</t>
  </si>
  <si>
    <t>Office &amp; VPN (HK, CD) to connect  LLM (Dev)</t>
  </si>
  <si>
    <t xml:space="preserve"> SIT</t>
  </si>
  <si>
    <t>1755599374930</t>
  </si>
  <si>
    <t>RITM08870037</t>
  </si>
  <si>
    <t xml:space="preserve">HK/HK VPN/CD VPN to connect MongoDB </t>
  </si>
  <si>
    <t>1755598795883</t>
  </si>
  <si>
    <t>RITM08870031</t>
  </si>
  <si>
    <t>1756195060383</t>
  </si>
  <si>
    <t>RITM08893796</t>
  </si>
  <si>
    <t>Ali Env -&gt; Ali Repo Server</t>
  </si>
  <si>
    <t>Johnny Wang</t>
  </si>
  <si>
    <t>1756190906258</t>
  </si>
  <si>
    <t>RITM08889369</t>
  </si>
  <si>
    <t>Office, VPN (HK,CD, MAC) -&gt; Ali Repo Server</t>
  </si>
  <si>
    <t>1756195385015</t>
  </si>
  <si>
    <t>RITM08893795</t>
  </si>
  <si>
    <t>Ali WSUS server -&gt; Microsoft URL</t>
  </si>
  <si>
    <t>RITM08894254</t>
  </si>
  <si>
    <t>VDI to RDS DEV, SIT, UAT</t>
  </si>
  <si>
    <t>RITM08893659</t>
  </si>
  <si>
    <t>ack(dev/sit/uat) to Azure (login.microsoftonline.com)</t>
  </si>
  <si>
    <t>RITM08878628</t>
  </si>
  <si>
    <t>ADF[AZWAPNHKNGEDL01] to Azure key vault[https://mfcakveasdcsdev01.vault.azure.net/]</t>
  </si>
  <si>
    <t>RITM08874874</t>
  </si>
  <si>
    <t>CA CLIENT SERVER[azwdbnhisats01] to API GW(UAT)[10.83.130.83, 10.83.129.156])</t>
  </si>
  <si>
    <t>RITM08873976</t>
  </si>
  <si>
    <t>Office|VPN to RDS(UAT)[pgm-3nsu6wy96z5zqm88.pg.cnhk.rds.aliyuncs.com])</t>
  </si>
  <si>
    <t>RITM08873954</t>
  </si>
  <si>
    <t>Jenkins to RDS UAT[pgm-3nsu6wy96z5zqm88.pg.cnhk.rds.aliyuncs.com])</t>
  </si>
  <si>
    <t>RITM08873982</t>
  </si>
  <si>
    <t>ADF[AZWAPNHKNGEDL01] to RDS(UAT)[pgm-3nsu6wy96z5zqm88.pg.cnhk.rds.aliyuncs.com])</t>
  </si>
  <si>
    <t>1756274074600</t>
  </si>
  <si>
    <t>VDI to Ali ALB DEV/SIT/UAT</t>
  </si>
  <si>
    <t>1756262636025</t>
  </si>
  <si>
    <t>Ali ACK[UAT] egress to Azure Blob[mfcblobadouateas01.blob.core.windows.net]</t>
  </si>
  <si>
    <t>CA CLIENT SERVER(AZWDBNHISATS01) to UAT ALB(10.83.130.83、10.83.129.156)</t>
  </si>
  <si>
    <t>RITM08837962</t>
  </si>
  <si>
    <t>Jenkins to RDS sit [pgm-3ns4w4l10xolewgr.pg.rds.aliyuncs.com]</t>
  </si>
  <si>
    <t>RITM08838303</t>
  </si>
  <si>
    <t>CA CLIENT SERVER[azwdbnhisats01] to Azure key vault[https://mfcakveasdcsdev01.vault.azure.net/]</t>
  </si>
  <si>
    <t>RITM08837863</t>
  </si>
  <si>
    <t>CA CLIENT SERVER[azwdbnhisats01] to Azure key vault[https://mfcakv-eas-edlhk-nprd-01.vault.azure.net、https://mfcakv-eas-edlhk-nprd-02.vault.azure.net]</t>
  </si>
  <si>
    <t>RITM08803020</t>
  </si>
  <si>
    <t>ADF[AZWAPNHKNGEDL01] to RDS dev [pgm-3nso8s3z962om101.pg.rds.aliyuncs.com]</t>
  </si>
  <si>
    <t>RITM08759882</t>
  </si>
  <si>
    <t>Jenkins to RDS dev [pgm-3nso8s3z962om101.pg.rds.aliyuncs.com]</t>
  </si>
  <si>
    <t>RITM08737658</t>
  </si>
  <si>
    <t>VPN to RDS dev [pgm-3nso8s3z962om101.pg.rds.aliyuncs.com]</t>
  </si>
  <si>
    <t>RITM08728699</t>
  </si>
  <si>
    <t>ADF[AZWAPNHKNGEDL01] to API GW dev[10.83.200.41, 10.83.199.51]</t>
  </si>
  <si>
    <t>RITM08728706</t>
  </si>
  <si>
    <t>CA SERVER AGENT to API GW dev[10.83.200.41, 10.83.199.51]</t>
  </si>
  <si>
    <t>RITM08728726</t>
  </si>
  <si>
    <t>Azure-&gt;API GW dev[10.83.200.41, 10.83.199.51]</t>
  </si>
  <si>
    <t>RITM08699620</t>
  </si>
  <si>
    <t>Azure-&gt;API GW sit[10.83.199.48, 10.83.200.38]</t>
  </si>
  <si>
    <t>RITM08728733</t>
  </si>
  <si>
    <t>VPN to API GW dev[10.83.200.41, 10.83.199.51]</t>
  </si>
  <si>
    <t>RITM08699624</t>
  </si>
  <si>
    <t>ADF[AZWAPNHKNGEDL01] to API GW sit[10.83.199.48, 10.83.200.38]</t>
  </si>
  <si>
    <t>RITM08699618</t>
  </si>
  <si>
    <t>VPN to API GW sit[10.83.199.48, 10.83.200.38]</t>
  </si>
  <si>
    <t>RITM08699612</t>
  </si>
  <si>
    <t>CA SERVER AGENT to API GW dev[10.83.199.48, 10.83.200.38]</t>
  </si>
  <si>
    <t>RITM08699622</t>
  </si>
  <si>
    <t>ADF[AZWAPNHKNGEDL01] to RDS dev [pgm-3ns4w4l10xolewgr.pg.rds.aliyuncs.com]</t>
  </si>
  <si>
    <t>1751528064153</t>
  </si>
  <si>
    <t>RITM08708332</t>
  </si>
  <si>
    <t>jenkins to ACR</t>
  </si>
  <si>
    <t>1756285802419</t>
  </si>
  <si>
    <t>ACK  to Eventbridge</t>
  </si>
  <si>
    <t>NB</t>
  </si>
  <si>
    <t>1756288879161</t>
  </si>
  <si>
    <t>AKS DEV to HK STS token</t>
  </si>
  <si>
    <t>1756289316010</t>
  </si>
  <si>
    <t>AKS SIT to HK STS token</t>
  </si>
  <si>
    <t>1756289510174</t>
  </si>
  <si>
    <t>AKS UAT to HK STS token</t>
  </si>
  <si>
    <t>RITM08798315</t>
  </si>
  <si>
    <t>AKS to Cloudflow SG</t>
  </si>
  <si>
    <t>1756433535684</t>
  </si>
  <si>
    <t>RITM08909262</t>
  </si>
  <si>
    <t xml:space="preserve">CD/HK office connect to LLM VPC </t>
  </si>
  <si>
    <t>1756433887554</t>
  </si>
  <si>
    <t xml:space="preserve">CD/HK VPN office connect to LLM VPC </t>
  </si>
  <si>
    <t>1756434089906</t>
  </si>
  <si>
    <t>RITM08909301</t>
  </si>
  <si>
    <t>CD/HK office connect to ADB</t>
  </si>
  <si>
    <t>1756434275020</t>
  </si>
  <si>
    <t>RITM08909308</t>
  </si>
  <si>
    <t xml:space="preserve">CD/HK VPN office connect to ADB VPC </t>
  </si>
  <si>
    <t>1756434442329</t>
  </si>
  <si>
    <t>RITM08909335</t>
  </si>
  <si>
    <t>ACK connect to LLM</t>
  </si>
  <si>
    <t>1756434828069</t>
  </si>
  <si>
    <t>RITM08909337</t>
  </si>
  <si>
    <t>ACK connect to ADB</t>
  </si>
  <si>
    <t>1756435011697</t>
  </si>
  <si>
    <t>RITM08909340</t>
  </si>
  <si>
    <t>ACK connect to ADB (Embedding AI)</t>
  </si>
  <si>
    <t>1756435621500</t>
  </si>
  <si>
    <t>RITM08909704</t>
  </si>
  <si>
    <t>ACK connect to mongodb</t>
  </si>
  <si>
    <t>NonProd+Prod</t>
  </si>
  <si>
    <t>1756289012626</t>
  </si>
  <si>
    <t>RITM08903505</t>
  </si>
  <si>
    <t>Ali (All subnet) to Defender endpoint (Additional EU URLs)</t>
  </si>
  <si>
    <t>1756697060883</t>
  </si>
  <si>
    <t>RITM08910788</t>
  </si>
  <si>
    <t>MAC VPN (HK GW) to Grafana Dashboard</t>
  </si>
  <si>
    <t>1756697602875</t>
  </si>
  <si>
    <t>RITM08910797</t>
  </si>
  <si>
    <t>RSF AVD to Grafana Dashboard</t>
  </si>
  <si>
    <t>1756705521000</t>
  </si>
  <si>
    <t>CD/HK Office and VPN connect to RDS DEV [pgm-3ns82nx4z5f92195.pg.cnhk.rds.aliyuncs.com]</t>
  </si>
  <si>
    <t>RITM08918569</t>
  </si>
  <si>
    <t>ACK to RDS, KMS, RabbitMQ (RSF DEV)</t>
  </si>
  <si>
    <t>1756895939878</t>
  </si>
  <si>
    <t>RITM08929390</t>
  </si>
  <si>
    <t>ACK to ADB AI Embedding</t>
  </si>
  <si>
    <t>1756980361685</t>
  </si>
  <si>
    <t>RITM08929374</t>
  </si>
  <si>
    <t>ACK to ADB AI Embedding (Change new URL)</t>
  </si>
  <si>
    <t>1756345778083</t>
  </si>
  <si>
    <t>RITM08899940</t>
  </si>
  <si>
    <t xml:space="preserve">CD/HK office connect to MongoDB  </t>
  </si>
  <si>
    <t>1757923824234</t>
  </si>
  <si>
    <t>RITM08973523</t>
  </si>
  <si>
    <t>RSF - Azure RSF cluster (aks-eas-yoda-cluster) to Alicloud RSF ACK cluster</t>
  </si>
  <si>
    <t>RSF</t>
  </si>
  <si>
    <t>1758185587257</t>
  </si>
  <si>
    <t>RITM08979330</t>
  </si>
  <si>
    <t>Jenkins to RDS</t>
  </si>
  <si>
    <t>1758185219004</t>
  </si>
  <si>
    <t>RITM08979321</t>
  </si>
  <si>
    <t>1758183101513</t>
  </si>
  <si>
    <t>RITM08979324</t>
  </si>
  <si>
    <t>1758162589930</t>
  </si>
  <si>
    <t>RITM08984656</t>
  </si>
  <si>
    <t>CD&amp;HK VPN: Firewall settings for connecting to Alibaba Cloud</t>
  </si>
  <si>
    <t>Ethan Cao</t>
  </si>
  <si>
    <t>1758105291068</t>
  </si>
  <si>
    <t>RITM08993272</t>
  </si>
  <si>
    <t>ACK egress traffic to Alibaba Cloud ADB AI Gateway.</t>
  </si>
  <si>
    <t>1758104655010</t>
  </si>
  <si>
    <t>RITM08984683</t>
  </si>
  <si>
    <t>ACK Egress Subnet connects to the MongoDB instance on Alibaba Cloud.</t>
  </si>
  <si>
    <t>1758104400073</t>
  </si>
  <si>
    <t>RITM08993270</t>
  </si>
  <si>
    <t>ACK Egress traffic to Alibaba Cloud Redis instance</t>
  </si>
  <si>
    <t>1758105103647</t>
  </si>
  <si>
    <t>RITM08984641</t>
  </si>
  <si>
    <t>ACK Egress traffic will be routed to Alibaba Cloud's ADB-Jarvis service.</t>
  </si>
  <si>
    <t>1758104896765</t>
  </si>
  <si>
    <t>RITM08984547</t>
  </si>
  <si>
    <t>ACK Egress to Alibaba Cloud's RocketMQ.</t>
  </si>
  <si>
    <t>1758505782165</t>
  </si>
  <si>
    <t xml:space="preserve">
ACK Node subnet to Prisma Cloud (Public)</t>
  </si>
  <si>
    <t>1758172817892</t>
  </si>
  <si>
    <t>RITM08989114</t>
  </si>
  <si>
    <t>ACK Production Environment Firewall Configuration Request 
(prior to deployment on Alibaba Cloud)</t>
  </si>
  <si>
    <t>1758159621156</t>
  </si>
  <si>
    <t>RITM08984908</t>
  </si>
  <si>
    <t>Enable firewall for Jenkins to access the Alibaba Cloud API server.</t>
  </si>
  <si>
    <t>1758100919028</t>
  </si>
  <si>
    <t>RITM08984728</t>
  </si>
  <si>
    <t>ACK Egress Subnet to Alibaba Cloud Firewall.</t>
  </si>
  <si>
    <t>1758162070406</t>
  </si>
  <si>
    <t xml:space="preserve"> RITM08984694</t>
  </si>
  <si>
    <t>Enable firewall for connections between CD&amp;HK Office and Alibaba Cloud.</t>
  </si>
  <si>
    <t>1758161052255</t>
  </si>
  <si>
    <t>Configuration of ACK egress firewall rules for the production environment  to access resources on Alibaba Cloud</t>
  </si>
  <si>
    <t>Imp 25 Sep</t>
  </si>
  <si>
    <t>1758784361751</t>
  </si>
  <si>
    <t>RITM08998167</t>
  </si>
  <si>
    <t>1758784164449</t>
  </si>
  <si>
    <t>RITM08998237</t>
  </si>
  <si>
    <t>Ali ACK (Egress) to Azure AKS APIM SEA</t>
  </si>
  <si>
    <t>Ali ACK (Egress) to Azure AKS APIM EAS</t>
  </si>
  <si>
    <t>1759396866333</t>
  </si>
  <si>
    <t>Office (HK/CD) to ACK PROD API Server</t>
  </si>
  <si>
    <t>1759397837496</t>
  </si>
  <si>
    <t>VPN (HK/CD) to ACK PROD API Server</t>
  </si>
  <si>
    <t>1759398213304</t>
  </si>
  <si>
    <t>Office (HK, CD) to connect ACK via ALB PROD</t>
  </si>
  <si>
    <t>1759398324559</t>
  </si>
  <si>
    <t>VPN (HK, CD) to connect ACK via ALB PROD</t>
  </si>
  <si>
    <t>THR</t>
  </si>
  <si>
    <t>THR(https://mfc.sharepoint.com/:l:/r/sites/GDTSRGovernance/Lists/Foundation%20LLM%20Evaluation?e=OHcFh6)</t>
  </si>
  <si>
    <t>Apsara RocketMQ</t>
  </si>
  <si>
    <t>Not yet approved</t>
  </si>
  <si>
    <t>Apsara RDS PostgreSQL</t>
  </si>
  <si>
    <t>Apsara Redis</t>
  </si>
  <si>
    <t>Container Registry(ACR Service)</t>
  </si>
  <si>
    <t>replaced by Artifactory\Jenkins</t>
  </si>
  <si>
    <t>SLS</t>
  </si>
  <si>
    <t>API gateway</t>
  </si>
  <si>
    <t>ALB – Requested</t>
  </si>
  <si>
    <t>Analytic DB</t>
  </si>
  <si>
    <t>Not yet requested</t>
  </si>
  <si>
    <t>Qwen Max 2.5\LLM</t>
  </si>
  <si>
    <t>Model Studio</t>
  </si>
  <si>
    <t>ADB</t>
  </si>
  <si>
    <t>approved by IRM</t>
  </si>
  <si>
    <t>New company approval</t>
  </si>
  <si>
    <t>AI Guardrail</t>
  </si>
  <si>
    <t>waiting by IRM</t>
  </si>
  <si>
    <t>ApsaraMQ for Kafka</t>
  </si>
  <si>
    <t>Application real time monitoring service (ARMS)</t>
  </si>
  <si>
    <t>ApsaraMQ
- ApsaraMQ for RabbitMQ
- ApsaraMQ for RocketMQ</t>
  </si>
  <si>
    <t>Elastic IP (EIP)</t>
  </si>
  <si>
    <t>Grafana</t>
  </si>
  <si>
    <t>IDaaS</t>
  </si>
  <si>
    <t>NAT Gateway</t>
  </si>
  <si>
    <t>Resource access management (RAM)</t>
  </si>
  <si>
    <t>Virtual private cloud (VPC)</t>
  </si>
  <si>
    <t>Alibaba Cloud Service</t>
  </si>
  <si>
    <t>Code</t>
  </si>
  <si>
    <t>Azure Services Equivalent</t>
  </si>
  <si>
    <t>Alibaba Cloud DNS PrivateZone</t>
  </si>
  <si>
    <t>Azure Private DNS</t>
  </si>
  <si>
    <t>Alibaba Cloud Model Studio</t>
  </si>
  <si>
    <t>Azure AI Studio / Azure Machine Learning</t>
  </si>
  <si>
    <t>AnalyticDB for PostgreSQL</t>
  </si>
  <si>
    <t>Azure Synapse Analytics + Azure Database for PostgreSQL</t>
  </si>
  <si>
    <t>Azure API Management</t>
  </si>
  <si>
    <t>Application Real-Time Monitoring Service</t>
  </si>
  <si>
    <t>ARMS</t>
  </si>
  <si>
    <t>Azure Monitor + Application Insights</t>
  </si>
  <si>
    <t>Azure Cosmos DB for MongoDB</t>
  </si>
  <si>
    <t>ApsaraDB RDS</t>
  </si>
  <si>
    <t>Azure Database (MySQL/PostgreSQL/MariaDB) / Azure SQL</t>
  </si>
  <si>
    <t>ApsaraMQ</t>
  </si>
  <si>
    <t>Azure Event Hubs / Azure Service Bus</t>
  </si>
  <si>
    <t>Certificate Management Service</t>
  </si>
  <si>
    <t>Azure Key Vault Certificates</t>
  </si>
  <si>
    <t>Cloud Backup</t>
  </si>
  <si>
    <t>Azure Backup</t>
  </si>
  <si>
    <t>Cloud Data Transfer</t>
  </si>
  <si>
    <t>Azure Data Box / Azure Data Factory</t>
  </si>
  <si>
    <t>Cloud Firewall</t>
  </si>
  <si>
    <t>Azure Firewall</t>
  </si>
  <si>
    <t>Cloud Monitor</t>
  </si>
  <si>
    <t>Azure Monitor</t>
  </si>
  <si>
    <t>Azure File Sync / Azure StorSimple (legacy)</t>
  </si>
  <si>
    <t>Container Registry</t>
  </si>
  <si>
    <t>Azure Container Registry</t>
  </si>
  <si>
    <t>Container Service for Kubernetes</t>
  </si>
  <si>
    <t>Azure Kubernetes Service (AKS)</t>
  </si>
  <si>
    <t>Data Management</t>
  </si>
  <si>
    <t>DMS</t>
  </si>
  <si>
    <t>Azure Data Studio / Azure Database tools</t>
  </si>
  <si>
    <t>Microsoft Purview</t>
  </si>
  <si>
    <t>Data Transmission Service</t>
  </si>
  <si>
    <t>DTS</t>
  </si>
  <si>
    <t>Azure Database Migration Service / Azure Data Factory</t>
  </si>
  <si>
    <t>Database Autonomy Service</t>
  </si>
  <si>
    <t>Azure SQL Intelligent Performance / Azure Automanage</t>
  </si>
  <si>
    <t>DataWorks</t>
  </si>
  <si>
    <t>Azure Synapse Pipelines / Azure Data Factory</t>
  </si>
  <si>
    <t>Elastic Block Storage</t>
  </si>
  <si>
    <t>EBS</t>
  </si>
  <si>
    <t>Azure Managed Disks</t>
  </si>
  <si>
    <t>Elastic Compute Service</t>
  </si>
  <si>
    <t>ECS</t>
  </si>
  <si>
    <t>Azure Virtual Machines</t>
  </si>
  <si>
    <t>Elastic Desktop Service Enterprise</t>
  </si>
  <si>
    <t>EDS</t>
  </si>
  <si>
    <t>Azure Virtual Desktop</t>
  </si>
  <si>
    <t>Elastic IP Address</t>
  </si>
  <si>
    <t>Azure Public IP Address</t>
  </si>
  <si>
    <t>Express Connect</t>
  </si>
  <si>
    <t>Azure ExpressRoute</t>
  </si>
  <si>
    <t>Azure Functions</t>
  </si>
  <si>
    <t>Identity as a Service</t>
  </si>
  <si>
    <t>Microsoft Entra ID</t>
  </si>
  <si>
    <t>Key Management Service</t>
  </si>
  <si>
    <t>KMS</t>
  </si>
  <si>
    <t>Azure Key Vault</t>
  </si>
  <si>
    <t>Marketplace</t>
  </si>
  <si>
    <t>Azure Marketplace</t>
  </si>
  <si>
    <t>Azure Synapse Analytics (Big Data / Data Warehouse)</t>
  </si>
  <si>
    <t>Microservices Engine</t>
  </si>
  <si>
    <t>MSE</t>
  </si>
  <si>
    <t>Azure Service Fabric / Dapr on AKS</t>
  </si>
  <si>
    <t>Azure NAT Gateway</t>
  </si>
  <si>
    <t>Object Storage Service</t>
  </si>
  <si>
    <t>OSS</t>
  </si>
  <si>
    <t>Azure Blob Storage</t>
  </si>
  <si>
    <t>Open Search</t>
  </si>
  <si>
    <t>Azure AI Search</t>
  </si>
  <si>
    <t>Azure Database for PostgreSQL/MySQL / Azure SQL Hyperscale</t>
  </si>
  <si>
    <t>Azure Private Link</t>
  </si>
  <si>
    <t>Realtime Compute for Apache Flink</t>
  </si>
  <si>
    <t>Azure Stream Analytics / Azure HDInsight Flink</t>
  </si>
  <si>
    <t>Server Load Balancer</t>
  </si>
  <si>
    <t>SLB</t>
  </si>
  <si>
    <t>Azure Load Balancer / Azure Application Gateway</t>
  </si>
  <si>
    <t>Service Mesh</t>
  </si>
  <si>
    <t>Open Service Mesh on AKS</t>
  </si>
  <si>
    <t>Simple Log Service</t>
  </si>
  <si>
    <t>Azure Monitor Logs / Log Analytics</t>
  </si>
  <si>
    <t>Tair (Redis OSS-compatible)</t>
  </si>
  <si>
    <t>Azure Cache for Redis</t>
  </si>
  <si>
    <t>Virtual Private Cloud</t>
  </si>
  <si>
    <t>VPC</t>
  </si>
  <si>
    <t>Azure Virtual Network (VNet)</t>
  </si>
  <si>
    <t>August Deliverables</t>
  </si>
  <si>
    <t>4-Aug to 8-Aug</t>
  </si>
  <si>
    <t>11-Aug to 15-Aug</t>
  </si>
  <si>
    <t>18-Aug to 22-Aug</t>
  </si>
  <si>
    <t>25-Aug to 29-Aug</t>
  </si>
  <si>
    <t>User Access</t>
  </si>
  <si>
    <t>Development</t>
  </si>
  <si>
    <t>Produciton Support</t>
  </si>
  <si>
    <t>THR or start of test</t>
  </si>
  <si>
    <t>DCS(Theresa)</t>
  </si>
  <si>
    <t>To fully test  on DEV</t>
  </si>
  <si>
    <t>User Access: MFCGD Entra ID</t>
  </si>
  <si>
    <t>Developer: MFCGCR Entra ID or Ali SSO account</t>
  </si>
  <si>
    <t>Production support team: MFCGCR Cyberarc or Ali SSO account(no Cyberark)*MFCGCR can store at Ali</t>
  </si>
  <si>
    <t>THR or new service: No production data and can use on non-production only</t>
  </si>
  <si>
    <t>Jarvis(Louis)</t>
  </si>
  <si>
    <t>To fully test on DEV
ACK to AKS tested
Logging and monitoring: not tested</t>
  </si>
  <si>
    <t>i) 15-Aug- UAT testing
ii) ADB will need to approve to use at UAT</t>
  </si>
  <si>
    <t>User Access: MFCGD Entra ID and O365HK Agency Entra ID</t>
  </si>
  <si>
    <t>Jenkins\Artifactory</t>
  </si>
  <si>
    <t>Normal support</t>
  </si>
  <si>
    <t>MCF\RCF(End of Sep)</t>
  </si>
  <si>
    <t>DevSecOps</t>
  </si>
  <si>
    <r>
      <rPr>
        <sz val="11"/>
        <color rgb="FF00B0F0"/>
        <rFont val="Aptos Narrow"/>
        <family val="2"/>
        <scheme val="minor"/>
      </rPr>
      <t>CI\CD for HK is completed(to shutdown ACR)</t>
    </r>
    <r>
      <rPr>
        <sz val="11"/>
        <color theme="1"/>
        <rFont val="Aptos Narrow"/>
        <family val="2"/>
        <scheme val="minor"/>
      </rPr>
      <t xml:space="preserve">
PH support to access to AliCloud</t>
    </r>
  </si>
  <si>
    <t>To start normal support
- AliCloud ACK Cluster
- KMS instance
- RabbitMQ instance
- API gateway
- Polar DB instance
- Adminstractive level access on API gateway</t>
  </si>
  <si>
    <t>AD</t>
  </si>
  <si>
    <t>Local account for DEV and MFCGCR for others</t>
  </si>
  <si>
    <t>To setup group</t>
  </si>
  <si>
    <t>Ready to create AD account</t>
  </si>
  <si>
    <t>Current Week</t>
  </si>
  <si>
    <t>Testing is in progress and can see front page</t>
  </si>
  <si>
    <t>LUA script to re-direct
App Penetration Test(connectivity to vendor - should not - Theresa to confirm)</t>
  </si>
  <si>
    <t>C2L log(OSS required)
Log to Sentinel(Derek to provide on Ali logging and provided by Theresa)
Log for Apps only(to OSS only for apps checking)(apps requirement by Theresa to Derek)</t>
  </si>
  <si>
    <t>i) ACK to ASK tested
(DEV and SIT are good)
ii) ADB is testing on DEV and SIT</t>
  </si>
  <si>
    <t>Logging and monitoring: not tested</t>
  </si>
  <si>
    <t>MCF(End of Sep)</t>
  </si>
  <si>
    <t>DevSecOps
(Utility server at Azure-HK in future; AVD at HK currently)</t>
  </si>
  <si>
    <t>i) Login provided.
ii) Trying the access from PH to Ali(all resource)
iii) VPN access is applying
iv) Approval raised ACK to Artifactory\Jenkin(CI\CD pipeline)</t>
  </si>
  <si>
    <t>Login test(Jonathan Quintal)</t>
  </si>
  <si>
    <t>Opening firewall for ACK to Artifactory\Jenkin(CI\CD pipeline)(1753772006933 
1753699458814)</t>
  </si>
  <si>
    <t>To start work normally after 8-Aug</t>
  </si>
  <si>
    <t xml:space="preserve">To prepare group and user </t>
  </si>
  <si>
    <t>To submit group and user for IRM approval</t>
  </si>
  <si>
    <t>i) Handover of AD to ETS-Asia
ii) Resource: MSL</t>
  </si>
  <si>
    <t>To prepare KT and procedure documents</t>
  </si>
  <si>
    <t>To prepare KT and procedure documents
Ready for production setup</t>
  </si>
  <si>
    <t>Timeline</t>
  </si>
  <si>
    <t>Work</t>
  </si>
  <si>
    <t>Current</t>
  </si>
  <si>
    <t>To confirm infra access and account design</t>
  </si>
  <si>
    <t>To have account design reviewed with IRM</t>
  </si>
  <si>
    <t>Start UAT Cluster creation</t>
  </si>
  <si>
    <t>UAT Cluster created</t>
  </si>
  <si>
    <t>Firewall open to UAT Cluster</t>
  </si>
  <si>
    <t>Testing of UAT Cluster and release UAT to HK</t>
  </si>
  <si>
    <t>Type</t>
  </si>
  <si>
    <t>Current Global Standards</t>
  </si>
  <si>
    <t>CyberArk</t>
  </si>
  <si>
    <t>No change</t>
  </si>
  <si>
    <t>WAF (Akamai)</t>
  </si>
  <si>
    <t>No Change</t>
  </si>
  <si>
    <t>Endpoint Detection (Defender(e5), Tanium(no mfcgd))</t>
  </si>
  <si>
    <t>Certificates and secret Management</t>
  </si>
  <si>
    <t>Data Classification (Purview)</t>
  </si>
  <si>
    <t>Before Prod</t>
  </si>
  <si>
    <t>Hardening Management (THR)</t>
  </si>
  <si>
    <t>Vulnerability Management (Qualys)</t>
  </si>
  <si>
    <t>DevSec Ops Security (CWP)</t>
  </si>
  <si>
    <t>n/a</t>
  </si>
  <si>
    <t>Security Center/ Compliance - CSPM</t>
  </si>
  <si>
    <t>Logging - Action Trail, Simple Log Services, Logtail, SIEM (ADX)</t>
  </si>
  <si>
    <t>Monitoring - OpenTelemetry, Grafana, ARMS, Prometheus</t>
  </si>
  <si>
    <t>Enable monitoring for ACK Dev.
Request for Endorsement from monitoring team/ Global &amp; HK.</t>
  </si>
  <si>
    <t>Monitoring - Alerting intergration with Moosoft</t>
  </si>
  <si>
    <t>Asset Management(SNow)</t>
  </si>
  <si>
    <t>VPN Access(Cisco Secure Client)</t>
  </si>
  <si>
    <t>User Internet Policy Control(Zscaler)</t>
  </si>
  <si>
    <t>Internet Inbound &amp; Outbound(PA)</t>
  </si>
  <si>
    <t>Private\Public DNS(Manulife)</t>
  </si>
  <si>
    <t>Active Directlry and Identity(EntraID &amp; AD)</t>
  </si>
  <si>
    <t>Schedule(CA)(*Apps Responsibility to setup)</t>
  </si>
  <si>
    <t>Task</t>
  </si>
  <si>
    <t>Who</t>
  </si>
  <si>
    <t>On board</t>
  </si>
  <si>
    <t>CI created in SNow</t>
  </si>
  <si>
    <t>New service owners</t>
  </si>
  <si>
    <t>Cyberark</t>
  </si>
  <si>
    <t>x</t>
  </si>
  <si>
    <t>Network Security [Joey]</t>
  </si>
  <si>
    <t>Response\Followup Action</t>
  </si>
  <si>
    <t>East West Firewall (Cross VPC)</t>
  </si>
  <si>
    <t>Permissive rules</t>
  </si>
  <si>
    <t>Started in UAT Cluster</t>
  </si>
  <si>
    <t>NSG</t>
  </si>
  <si>
    <t>PA firewall (North South Firewall)</t>
  </si>
  <si>
    <t># of resource in DMZ subnet (EIP detail)</t>
  </si>
  <si>
    <t>NAT gateway whitelist and chagne to outbound to PA at Sep</t>
  </si>
  <si>
    <t>TCP port scan result by Qualys (should only 443)</t>
  </si>
  <si>
    <t>All inbound rules are from akamai</t>
  </si>
  <si>
    <t>PA firewall at Sep</t>
  </si>
  <si>
    <t>Akamai</t>
  </si>
  <si>
    <t>Authentication</t>
  </si>
  <si>
    <t># of SSO account</t>
  </si>
  <si>
    <t xml:space="preserve">Vendor </t>
  </si>
  <si>
    <t>MFA and Cyberark</t>
  </si>
  <si>
    <t>MFA turn on</t>
  </si>
  <si>
    <t># of RAM account</t>
  </si>
  <si>
    <t>interactive login</t>
  </si>
  <si>
    <t>non-interactive login</t>
  </si>
  <si>
    <t xml:space="preserve">AKS </t>
  </si>
  <si>
    <t>Password policy</t>
  </si>
  <si>
    <t># of AKSK created and expiration date</t>
  </si>
  <si>
    <t>Authorization [Aubrey]</t>
  </si>
  <si>
    <t>Approval</t>
  </si>
  <si>
    <t xml:space="preserve"> </t>
  </si>
  <si>
    <t>#of approval vs # of new role assignment</t>
  </si>
  <si>
    <t xml:space="preserve">IRM approval </t>
  </si>
  <si>
    <t>Roles</t>
  </si>
  <si>
    <t>List of Cloudadmin (admin)</t>
  </si>
  <si>
    <t>List of diff type of roles and assignment to users</t>
  </si>
  <si>
    <t>Roles assignment assign to user group but not user</t>
  </si>
  <si>
    <t xml:space="preserve">User group need to have an indication for privilege group and reviewed through IIQ </t>
  </si>
  <si>
    <t>Ali Process to be defined</t>
  </si>
  <si>
    <t>Admin Tool Protection [Edison][Alan]</t>
  </si>
  <si>
    <t>IP restriction</t>
  </si>
  <si>
    <t>Device restriction</t>
  </si>
  <si>
    <t>portal</t>
  </si>
  <si>
    <t>CLI</t>
  </si>
  <si>
    <t>Should raise a CAP</t>
  </si>
  <si>
    <t>SDK</t>
  </si>
  <si>
    <t>Restapi</t>
  </si>
  <si>
    <t>Logging and Monitoring[][Alan\Derek]</t>
  </si>
  <si>
    <t>… (36 Cloud Services)</t>
  </si>
  <si>
    <t xml:space="preserve">SLS </t>
  </si>
  <si>
    <t>Monitoring - Granfana(ali) opened and have 2 dashboards</t>
  </si>
  <si>
    <t>ADX</t>
  </si>
  <si>
    <t>Setinel - Windows\Linux\Action Trail(applied), Other-  ?, App log - ?</t>
  </si>
  <si>
    <t>Encryption for data in transit and at rest[Alan]</t>
  </si>
  <si>
    <t>Control policy existence</t>
  </si>
  <si>
    <t>Control policy exception</t>
  </si>
  <si>
    <t>Public - cant access</t>
  </si>
  <si>
    <t>Data Location/Residency</t>
  </si>
  <si>
    <t># of resource in regions outside of HK (Should be null except SG Qwen)</t>
  </si>
  <si>
    <t>Existence of policy to restrcit resources created outside of HK</t>
  </si>
  <si>
    <t>Vulnerability Management (Hardening, Patching, Anti-ware, Pen-test)</t>
  </si>
  <si>
    <t>Hardening</t>
  </si>
  <si>
    <t>[Either Nizam team or Us][GCS]</t>
  </si>
  <si>
    <t>THR exist?</t>
  </si>
  <si>
    <t>Hardening complete by operation team? (Fill by Alan)
Ali native CSPM  policy tuning
Ali native CSPM findings
Prisma CSPM policy creation/tuning
Prisma CSPM finding
Prisma CWP (For ACK)</t>
  </si>
  <si>
    <t>ACK (Need large effort)</t>
  </si>
  <si>
    <t># of Bucket vs # of bucket policy</t>
  </si>
  <si>
    <t>Patching</t>
  </si>
  <si>
    <t>Patching tool availability (e.g. ansible agent)</t>
  </si>
  <si>
    <t>Qualys agents in ECS?</t>
  </si>
  <si>
    <t>Qualys findings show up in Qualys console</t>
  </si>
  <si>
    <t>Qualys monitoring [PTG]</t>
  </si>
  <si>
    <t>Anti-malware</t>
  </si>
  <si>
    <t>Can see in console? (ECS)</t>
  </si>
  <si>
    <t>#of ECS vs # of items in console</t>
  </si>
  <si>
    <t>defender</t>
  </si>
  <si>
    <t>tanium</t>
  </si>
  <si>
    <t>Pentest [GCS]</t>
  </si>
  <si>
    <t>To complete before go live (~Nov)</t>
  </si>
  <si>
    <t>Asset Management [GCS]</t>
  </si>
  <si>
    <t>CMDB alicloud items vs actual resrouces in alicloud</t>
  </si>
  <si>
    <t>Queue created for Ali Support
CI created - VM
Service Request flow - To be created
Tagging - WIP</t>
  </si>
  <si>
    <t xml:space="preserve">Data Leakage Prevention </t>
  </si>
  <si>
    <t>Domain Controller</t>
  </si>
  <si>
    <t>check the list of users in all the admin goups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</si>
</sst>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6" x14ac:knownFonts="1">
    <font>
      <sz val="11"/>
      <color theme="1"/>
      <name val="Aptos Narrow"/>
      <family val="2"/>
      <scheme val="minor"/>
    </font>
    <font>
      <sz val="11"/>
      <color rgb="FF006100"/>
      <name val="Aptos Narrow"/>
      <family val="2"/>
      <scheme val="minor"/>
    </font>
    <font>
      <sz val="11"/>
      <color rgb="FF9C0006"/>
      <name val="Aptos Narrow"/>
      <family val="2"/>
      <scheme val="minor"/>
    </font>
    <font>
      <u/>
      <sz val="11"/>
      <color theme="10"/>
      <name val="Aptos Narrow"/>
      <family val="2"/>
      <scheme val="minor"/>
    </font>
    <font>
      <sz val="12"/>
      <color theme="1"/>
      <name val="Aptos"/>
      <family val="2"/>
    </font>
    <font>
      <sz val="9"/>
      <color rgb="FF000000"/>
      <name val="Manulife JH Sans"/>
      <family val="2"/>
    </font>
    <font>
      <sz val="9"/>
      <name val="Manulife JH Sans"/>
      <family val="2"/>
    </font>
    <font>
      <b/>
      <sz val="11"/>
      <color theme="0"/>
      <name val="Aptos Narrow"/>
      <family val="2"/>
      <scheme val="minor"/>
    </font>
    <font>
      <sz val="11"/>
      <color rgb="FF000000"/>
      <name val="Aptos Narrow"/>
      <family val="2"/>
    </font>
    <font>
      <b/>
      <sz val="12"/>
      <color rgb="FFC00000"/>
      <name val="Aptos Narrow"/>
      <family val="2"/>
      <scheme val="minor"/>
    </font>
    <font>
      <b/>
      <sz val="11"/>
      <color theme="1"/>
      <name val="Aptos Narrow"/>
      <family val="2"/>
      <scheme val="minor"/>
    </font>
    <font>
      <sz val="11"/>
      <color rgb="FF00B0F0"/>
      <name val="Aptos Narrow"/>
      <family val="2"/>
      <scheme val="minor"/>
    </font>
    <font>
      <sz val="11"/>
      <color rgb="FF000000"/>
      <name val="Aptos Narrow"/>
      <family val="2"/>
      <scheme val="minor"/>
    </font>
    <font>
      <b/>
      <sz val="12"/>
      <color theme="1"/>
      <name val="Aptos Narrow"/>
      <family val="2"/>
      <scheme val="minor"/>
    </font>
    <font>
      <sz val="12"/>
      <color theme="1"/>
      <name val="Aptos Narrow"/>
      <family val="2"/>
      <scheme val="minor"/>
    </font>
    <font>
      <b/>
      <sz val="11"/>
      <color rgb="FFFF0000"/>
      <name val="Aptos Narrow"/>
      <family val="2"/>
      <scheme val="minor"/>
    </font>
    <font>
      <sz val="11"/>
      <color theme="1"/>
      <name val="Aptos Narrow"/>
      <family val="2"/>
      <scheme val="minor"/>
    </font>
    <font>
      <sz val="11"/>
      <color rgb="FF242424"/>
      <name val="Aptos Narrow"/>
      <family val="2"/>
    </font>
    <font>
      <b/>
      <sz val="9"/>
      <color rgb="FFFFFFFF"/>
      <name val="Manulife JH Sans"/>
      <family val="2"/>
    </font>
    <font>
      <sz val="9"/>
      <color rgb="FFFFFFFF"/>
      <name val="Manulife JH Sans"/>
      <family val="2"/>
    </font>
    <font>
      <b/>
      <sz val="9"/>
      <color rgb="FF000000"/>
      <name val="Manulife JH Sans"/>
      <family val="2"/>
    </font>
    <font>
      <sz val="8"/>
      <color rgb="FF000000"/>
      <name val="Manulife JH Sans"/>
      <family val="2"/>
    </font>
    <font>
      <sz val="9"/>
      <color rgb="FFFF0000"/>
      <name val="Manulife JH Sans"/>
      <family val="2"/>
    </font>
    <font>
      <b/>
      <sz val="9"/>
      <color rgb="FFFF0000"/>
      <name val="Manulife JH Sans"/>
      <family val="2"/>
    </font>
    <font>
      <b/>
      <i/>
      <sz val="9"/>
      <color rgb="FFFFFFFF"/>
      <name val="Aptos Narrow"/>
      <family val="2"/>
    </font>
    <font>
      <b/>
      <sz val="9"/>
      <color rgb="FFFFFFFF"/>
      <name val="Aptos Narrow"/>
      <family val="2"/>
    </font>
    <font>
      <sz val="9"/>
      <color theme="1"/>
      <name val="Aptos Narrow"/>
      <family val="2"/>
      <scheme val="minor"/>
    </font>
    <font>
      <sz val="9"/>
      <color rgb="FF000000"/>
      <name val="Aptos Narrow"/>
      <family val="2"/>
    </font>
    <font>
      <sz val="9"/>
      <color rgb="FF47D359"/>
      <name val="Aptos Narrow"/>
      <family val="2"/>
    </font>
    <font>
      <sz val="9"/>
      <color rgb="FFFF0000"/>
      <name val="Aptos Narrow"/>
      <family val="2"/>
    </font>
    <font>
      <b/>
      <sz val="9"/>
      <color rgb="FFFF0000"/>
      <name val="Aptos Narrow"/>
      <family val="2"/>
    </font>
    <font>
      <sz val="9"/>
      <name val="Aptos Narrow"/>
      <family val="2"/>
    </font>
    <font>
      <b/>
      <sz val="12"/>
      <color rgb="FF000000"/>
      <name val="Manulife JH Sans"/>
      <family val="2"/>
    </font>
    <font>
      <sz val="12"/>
      <color rgb="FF000000"/>
      <name val="Manulife JH Sans"/>
      <family val="2"/>
    </font>
    <font>
      <sz val="11"/>
      <color rgb="FF9C5700"/>
      <name val="Aptos Narrow"/>
      <family val="2"/>
      <scheme val="minor"/>
    </font>
    <font>
      <sz val="10"/>
      <color rgb="FF000000"/>
      <name val="Aptos Narrow (Body)"/>
    </font>
    <font>
      <sz val="10"/>
      <color theme="1"/>
      <name val="Aptos Narrow (Body)"/>
    </font>
    <font>
      <b/>
      <sz val="10"/>
      <color rgb="FFFF0000"/>
      <name val="Aptos Narrow (Body)"/>
    </font>
    <font>
      <b/>
      <sz val="10"/>
      <color rgb="FFFFFFFF"/>
      <name val="Aptos Narrow (Body)"/>
    </font>
    <font>
      <sz val="10"/>
      <color rgb="FFFFFFFF"/>
      <name val="Aptos Narrow (Body)"/>
    </font>
    <font>
      <b/>
      <sz val="10"/>
      <color rgb="FF000000"/>
      <name val="Aptos Narrow (Body)"/>
    </font>
    <font>
      <sz val="10"/>
      <color rgb="FF006100"/>
      <name val="Aptos Narrow (Body)"/>
    </font>
    <font>
      <sz val="10"/>
      <name val="Aptos Narrow (Body)"/>
    </font>
    <font>
      <sz val="10"/>
      <color rgb="FFFF0000"/>
      <name val="Aptos Narrow (Body)"/>
    </font>
    <font>
      <sz val="12"/>
      <color rgb="FF3F3F76"/>
      <name val="Aptos Narrow"/>
      <family val="2"/>
      <scheme val="minor"/>
    </font>
    <font>
      <sz val="10"/>
      <color rgb="FF000000"/>
      <name val="Aptos Narrow"/>
      <family val="2"/>
      <scheme val="minor"/>
    </font>
    <font>
      <sz val="10"/>
      <color rgb="FFFF0000"/>
      <name val="Aptos Narrow"/>
      <family val="2"/>
      <scheme val="minor"/>
    </font>
    <font>
      <b/>
      <sz val="10"/>
      <color rgb="FFFFFFFF"/>
      <name val="Aptos Narrow"/>
      <family val="2"/>
      <scheme val="minor"/>
    </font>
    <font>
      <sz val="10"/>
      <color rgb="FFFFFFFF"/>
      <name val="Aptos Narrow"/>
      <family val="2"/>
      <scheme val="minor"/>
    </font>
    <font>
      <sz val="10"/>
      <color theme="1"/>
      <name val="Aptos Narrow"/>
      <family val="2"/>
      <scheme val="minor"/>
    </font>
    <font>
      <b/>
      <sz val="10"/>
      <color rgb="FF000000"/>
      <name val="Aptos Narrow"/>
      <family val="2"/>
      <scheme val="minor"/>
    </font>
    <font>
      <sz val="10"/>
      <color rgb="FF006100"/>
      <name val="Aptos Narrow"/>
      <family val="2"/>
      <scheme val="minor"/>
    </font>
    <font>
      <sz val="10"/>
      <color theme="8" tint="-0.249977111117893"/>
      <name val="Aptos Narrow"/>
      <family val="2"/>
      <scheme val="minor"/>
    </font>
    <font>
      <sz val="10"/>
      <name val="Aptos Narrow"/>
      <family val="2"/>
      <scheme val="minor"/>
    </font>
    <font>
      <sz val="10"/>
      <color rgb="FF3F3F76"/>
      <name val="Aptos Narrow"/>
      <family val="2"/>
      <scheme val="minor"/>
    </font>
    <font>
      <sz val="10"/>
      <color rgb="FF9C0006"/>
      <name val="Aptos Narrow"/>
      <family val="2"/>
      <scheme val="minor"/>
    </font>
    <font>
      <b/>
      <sz val="10"/>
      <color theme="1"/>
      <name val="Aptos Narrow"/>
      <family val="2"/>
      <scheme val="minor"/>
    </font>
    <font>
      <b/>
      <sz val="11"/>
      <color theme="1"/>
      <name val="Calibri"/>
      <family val="2"/>
    </font>
    <font>
      <sz val="11"/>
      <color theme="1"/>
      <name val="Calibri"/>
      <family val="2"/>
    </font>
    <font>
      <b/>
      <sz val="10"/>
      <color rgb="FFFF0000"/>
      <name val="Aptos Narrow"/>
      <family val="2"/>
      <scheme val="minor"/>
    </font>
    <font>
      <sz val="8"/>
      <name val="Aptos Narrow"/>
      <family val="2"/>
      <scheme val="minor"/>
    </font>
    <font>
      <strike/>
      <sz val="10"/>
      <color rgb="FF000000"/>
      <name val="Aptos Narrow"/>
      <family val="2"/>
      <scheme val="minor"/>
    </font>
    <font>
      <sz val="10"/>
      <color rgb="FF000000"/>
      <name val="Aptos Narrow"/>
      <scheme val="minor"/>
    </font>
    <font>
      <sz val="10"/>
      <color rgb="FFFF0000"/>
      <name val="Aptos Narrow"/>
      <scheme val="minor"/>
    </font>
    <font>
      <b/>
      <sz val="11"/>
      <color theme="1"/>
      <name val="Aptos Narrow"/>
      <scheme val="minor"/>
    </font>
    <font>
      <b/>
      <sz val="10"/>
      <color rgb="FF000000"/>
      <name val="Aptos Narrow"/>
      <scheme val="minor"/>
    </font>
    <font>
      <strike/>
      <sz val="10"/>
      <color rgb="FF000000"/>
      <name val="Aptos Narrow"/>
      <scheme val="minor"/>
    </font>
    <font>
      <sz val="10"/>
      <color theme="1" tint="0.34998626667073579"/>
      <name val="Aptos Narrow"/>
      <family val="2"/>
      <scheme val="minor"/>
    </font>
    <font>
      <sz val="11"/>
      <color theme="1"/>
      <name val="Aptos Narrow"/>
    </font>
    <font>
      <strike/>
      <sz val="10"/>
      <color rgb="FF000000"/>
      <name val="Aptos Narrow"/>
      <family val="2"/>
    </font>
    <font>
      <sz val="10"/>
      <color rgb="FF000000"/>
      <name val="Aptos Narrow"/>
      <family val="2"/>
    </font>
    <font>
      <sz val="10"/>
      <color theme="1"/>
      <name val="Aptos Narrow"/>
      <scheme val="minor"/>
    </font>
    <font>
      <strike/>
      <sz val="10"/>
      <color theme="1"/>
      <name val="Aptos Narrow"/>
      <scheme val="minor"/>
    </font>
    <font>
      <sz val="10"/>
      <color theme="1" tint="0.34998626667073579"/>
      <name val="Aptos Narrow"/>
      <scheme val="minor"/>
    </font>
    <font>
      <sz val="11"/>
      <color theme="1" tint="0.34998626667073579"/>
      <name val="Aptos Narrow"/>
      <scheme val="minor"/>
    </font>
    <font>
      <sz val="10"/>
      <name val="Aptos Narrow"/>
      <scheme val="minor"/>
    </font>
    <font>
      <b/>
      <sz val="10"/>
      <color theme="1"/>
      <name val="Aptos Narrow"/>
      <scheme val="minor"/>
    </font>
    <font>
      <b/>
      <sz val="10"/>
      <color rgb="FFFFFFFF"/>
      <name val="Aptos Narrow"/>
      <scheme val="minor"/>
    </font>
    <font>
      <sz val="10"/>
      <color rgb="FFFFFFFF"/>
      <name val="Aptos Narrow"/>
      <scheme val="minor"/>
    </font>
    <font>
      <strike/>
      <sz val="10"/>
      <color theme="1" tint="0.34998626667073579"/>
      <name val="Aptos Narrow"/>
      <scheme val="minor"/>
    </font>
    <font>
      <b/>
      <sz val="10"/>
      <color theme="1" tint="0.34998626667073579"/>
      <name val="Aptos Narrow"/>
      <scheme val="minor"/>
    </font>
    <font>
      <sz val="11"/>
      <color theme="1"/>
      <name val="Aptos Narrow"/>
      <scheme val="minor"/>
    </font>
    <font>
      <sz val="10"/>
      <color rgb="FF3F3F76"/>
      <name val="Aptos Narrow"/>
      <scheme val="minor"/>
    </font>
    <font>
      <sz val="10"/>
      <color rgb="FF006100"/>
      <name val="Aptos Narrow"/>
      <scheme val="minor"/>
    </font>
    <font>
      <sz val="10"/>
      <color rgb="FF000000"/>
      <name val="Aptos Narrow"/>
    </font>
    <font>
      <b/>
      <sz val="10"/>
      <color rgb="FFFF0000"/>
      <name val="Aptos Narrow"/>
    </font>
  </fonts>
  <fills count="40">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92D050"/>
        <bgColor indexed="64"/>
      </patternFill>
    </fill>
    <fill>
      <patternFill patternType="solid">
        <fgColor rgb="FFFFFFFF"/>
      </patternFill>
    </fill>
    <fill>
      <patternFill patternType="solid">
        <fgColor theme="0" tint="-0.14999847407452621"/>
        <bgColor indexed="64"/>
      </patternFill>
    </fill>
    <fill>
      <patternFill patternType="solid">
        <fgColor rgb="FF00B050"/>
        <bgColor indexed="64"/>
      </patternFill>
    </fill>
    <fill>
      <patternFill patternType="solid">
        <fgColor theme="4"/>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156082"/>
        <bgColor rgb="FF000000"/>
      </patternFill>
    </fill>
    <fill>
      <patternFill patternType="solid">
        <fgColor rgb="FF4EA72E"/>
        <bgColor rgb="FF000000"/>
      </patternFill>
    </fill>
    <fill>
      <patternFill patternType="solid">
        <fgColor rgb="FFDAF2D0"/>
        <bgColor rgb="FF000000"/>
      </patternFill>
    </fill>
    <fill>
      <patternFill patternType="solid">
        <fgColor rgb="FF4D93D9"/>
        <bgColor rgb="FF000000"/>
      </patternFill>
    </fill>
    <fill>
      <patternFill patternType="solid">
        <fgColor rgb="FFFF7769"/>
        <bgColor rgb="FF000000"/>
      </patternFill>
    </fill>
    <fill>
      <patternFill patternType="solid">
        <fgColor rgb="FFDAE9F8"/>
        <bgColor rgb="FF000000"/>
      </patternFill>
    </fill>
    <fill>
      <patternFill patternType="solid">
        <fgColor rgb="FFFFFF00"/>
        <bgColor rgb="FF000000"/>
      </patternFill>
    </fill>
    <fill>
      <patternFill patternType="solid">
        <fgColor rgb="FFD0D0D0"/>
        <bgColor rgb="FF000000"/>
      </patternFill>
    </fill>
    <fill>
      <patternFill patternType="solid">
        <fgColor rgb="FF00B050"/>
        <bgColor rgb="FF000000"/>
      </patternFill>
    </fill>
    <fill>
      <patternFill patternType="solid">
        <fgColor theme="3" tint="0.499984740745262"/>
        <bgColor indexed="64"/>
      </patternFill>
    </fill>
    <fill>
      <patternFill patternType="solid">
        <fgColor rgb="FFFFEB9C"/>
      </patternFill>
    </fill>
    <fill>
      <patternFill patternType="solid">
        <fgColor rgb="FFC6EFCE"/>
        <bgColor indexed="64"/>
      </patternFill>
    </fill>
    <fill>
      <patternFill patternType="solid">
        <fgColor rgb="FFFFCC99"/>
      </patternFill>
    </fill>
    <fill>
      <patternFill patternType="solid">
        <fgColor theme="4" tint="0.39997558519241921"/>
        <bgColor rgb="FF000000"/>
      </patternFill>
    </fill>
    <fill>
      <patternFill patternType="solid">
        <fgColor theme="0"/>
        <bgColor indexed="64"/>
      </patternFill>
    </fill>
    <fill>
      <patternFill patternType="solid">
        <fgColor rgb="FFFFCC99"/>
        <bgColor indexed="64"/>
      </patternFill>
    </fill>
    <fill>
      <patternFill patternType="solid">
        <fgColor theme="6" tint="0.79998168889431442"/>
        <bgColor indexed="64"/>
      </patternFill>
    </fill>
    <fill>
      <patternFill patternType="solid">
        <fgColor rgb="FF00B0F0"/>
        <bgColor rgb="FF000000"/>
      </patternFill>
    </fill>
    <fill>
      <patternFill patternType="solid">
        <fgColor theme="3" tint="0.749992370372631"/>
        <bgColor indexed="64"/>
      </patternFill>
    </fill>
    <fill>
      <patternFill patternType="solid">
        <fgColor rgb="FFFFFFFF"/>
        <bgColor rgb="FF000000"/>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indexed="64"/>
      </top>
      <bottom style="thin">
        <color indexed="64"/>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top style="thin">
        <color rgb="FF000000"/>
      </top>
      <bottom/>
      <diagonal/>
    </border>
    <border>
      <left style="thin">
        <color indexed="64"/>
      </left>
      <right/>
      <top style="thin">
        <color indexed="64"/>
      </top>
      <bottom style="thin">
        <color rgb="FF000000"/>
      </bottom>
      <diagonal/>
    </border>
  </borders>
  <cellStyleXfs count="6">
    <xf numFmtId="0" fontId="0" fillId="0" borderId="0"/>
    <xf numFmtId="0" fontId="1" fillId="4" borderId="0" applyNumberFormat="0" applyBorder="0" applyAlignment="0" applyProtection="0"/>
    <xf numFmtId="0" fontId="2" fillId="5" borderId="0" applyNumberFormat="0" applyBorder="0" applyAlignment="0" applyProtection="0"/>
    <xf numFmtId="0" fontId="3" fillId="0" borderId="0" applyNumberFormat="0" applyFill="0" applyBorder="0" applyAlignment="0" applyProtection="0"/>
    <xf numFmtId="0" fontId="34" fillId="30" borderId="0" applyNumberFormat="0" applyBorder="0" applyAlignment="0" applyProtection="0"/>
    <xf numFmtId="0" fontId="44" fillId="32" borderId="39" applyNumberFormat="0" applyAlignment="0" applyProtection="0"/>
  </cellStyleXfs>
  <cellXfs count="863">
    <xf numFmtId="0" fontId="0" fillId="0" borderId="0" xfId="0"/>
    <xf numFmtId="0" fontId="0" fillId="0" borderId="1" xfId="0" applyBorder="1"/>
    <xf numFmtId="0" fontId="0" fillId="0" borderId="1" xfId="0" applyBorder="1" applyAlignment="1">
      <alignment horizontal="center"/>
    </xf>
    <xf numFmtId="16" fontId="0" fillId="0" borderId="1" xfId="0" applyNumberFormat="1" applyBorder="1" applyAlignment="1">
      <alignment horizontal="center"/>
    </xf>
    <xf numFmtId="0" fontId="0" fillId="2" borderId="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xf numFmtId="0" fontId="0" fillId="0" borderId="6" xfId="0" applyBorder="1" applyAlignment="1">
      <alignment horizontal="center"/>
    </xf>
    <xf numFmtId="0" fontId="0" fillId="0" borderId="4" xfId="0" applyBorder="1"/>
    <xf numFmtId="0" fontId="0" fillId="0" borderId="4" xfId="0" applyBorder="1" applyAlignment="1">
      <alignment horizontal="center"/>
    </xf>
    <xf numFmtId="0" fontId="0" fillId="3" borderId="1" xfId="0" applyFill="1" applyBorder="1"/>
    <xf numFmtId="0" fontId="0" fillId="0" borderId="1" xfId="0" applyBorder="1" applyAlignment="1">
      <alignment horizontal="center" vertical="center"/>
    </xf>
    <xf numFmtId="15" fontId="0" fillId="0" borderId="1" xfId="0" applyNumberFormat="1" applyBorder="1" applyAlignment="1">
      <alignment horizontal="center" vertical="center"/>
    </xf>
    <xf numFmtId="0" fontId="0" fillId="0" borderId="1" xfId="0" applyBorder="1" applyAlignment="1">
      <alignment horizontal="left" vertical="center" wrapText="1"/>
    </xf>
    <xf numFmtId="16" fontId="0" fillId="0" borderId="1" xfId="0" applyNumberFormat="1" applyBorder="1" applyAlignment="1">
      <alignment horizontal="center" vertical="center"/>
    </xf>
    <xf numFmtId="0" fontId="0" fillId="0" borderId="1" xfId="0" applyBorder="1" applyAlignment="1">
      <alignment horizontal="center" vertical="center" wrapText="1"/>
    </xf>
    <xf numFmtId="0" fontId="1" fillId="4" borderId="1" xfId="1" applyBorder="1" applyAlignment="1">
      <alignment horizontal="center" vertical="center"/>
    </xf>
    <xf numFmtId="15" fontId="0" fillId="0" borderId="1" xfId="0" applyNumberFormat="1" applyBorder="1" applyAlignment="1">
      <alignment horizontal="center"/>
    </xf>
    <xf numFmtId="0" fontId="0" fillId="2" borderId="1" xfId="0" applyFill="1" applyBorder="1" applyAlignment="1">
      <alignment horizontal="left" vertical="center" wrapText="1"/>
    </xf>
    <xf numFmtId="0" fontId="0" fillId="0" borderId="7" xfId="0" applyBorder="1" applyAlignment="1">
      <alignment horizontal="center"/>
    </xf>
    <xf numFmtId="0" fontId="0" fillId="0" borderId="8" xfId="0" applyBorder="1"/>
    <xf numFmtId="0" fontId="0" fillId="6" borderId="1" xfId="0" applyFill="1" applyBorder="1" applyAlignment="1">
      <alignment horizontal="center" vertical="center" wrapText="1"/>
    </xf>
    <xf numFmtId="0" fontId="3" fillId="6" borderId="1" xfId="3" applyFill="1" applyBorder="1" applyAlignment="1">
      <alignment horizontal="center" vertical="center" wrapText="1"/>
    </xf>
    <xf numFmtId="0" fontId="4" fillId="0" borderId="1" xfId="0" applyFont="1" applyBorder="1" applyAlignment="1">
      <alignment horizontal="left" vertical="center"/>
    </xf>
    <xf numFmtId="0" fontId="5" fillId="7" borderId="1" xfId="0" applyFont="1" applyFill="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0" fillId="8" borderId="1" xfId="0" applyFill="1" applyBorder="1"/>
    <xf numFmtId="0" fontId="5" fillId="7" borderId="1" xfId="0" applyFont="1" applyFill="1" applyBorder="1" applyAlignment="1">
      <alignment vertical="center" wrapText="1"/>
    </xf>
    <xf numFmtId="0" fontId="0" fillId="0" borderId="6" xfId="0" applyBorder="1" applyAlignment="1">
      <alignment horizontal="center" vertical="center"/>
    </xf>
    <xf numFmtId="15" fontId="0" fillId="0" borderId="6" xfId="0" applyNumberFormat="1" applyBorder="1" applyAlignment="1">
      <alignment horizontal="center" vertical="center"/>
    </xf>
    <xf numFmtId="0" fontId="0" fillId="0" borderId="0" xfId="0" applyAlignment="1">
      <alignment horizontal="center" vertical="center"/>
    </xf>
    <xf numFmtId="0" fontId="0" fillId="3" borderId="6" xfId="0" applyFill="1" applyBorder="1"/>
    <xf numFmtId="0" fontId="0" fillId="11" borderId="1" xfId="0" applyFill="1" applyBorder="1" applyAlignment="1">
      <alignment horizontal="center"/>
    </xf>
    <xf numFmtId="16" fontId="0" fillId="0" borderId="4" xfId="0" applyNumberFormat="1" applyBorder="1" applyAlignment="1">
      <alignment horizontal="center"/>
    </xf>
    <xf numFmtId="0" fontId="0" fillId="0" borderId="8" xfId="0" applyBorder="1" applyAlignment="1">
      <alignment horizontal="center"/>
    </xf>
    <xf numFmtId="15" fontId="0" fillId="0" borderId="4" xfId="0" applyNumberFormat="1" applyBorder="1" applyAlignment="1">
      <alignment horizontal="center"/>
    </xf>
    <xf numFmtId="16" fontId="0" fillId="0" borderId="6" xfId="0" applyNumberFormat="1" applyBorder="1" applyAlignment="1">
      <alignment horizontal="center"/>
    </xf>
    <xf numFmtId="0" fontId="0" fillId="12" borderId="1" xfId="0" applyFill="1" applyBorder="1" applyAlignment="1">
      <alignment horizontal="center"/>
    </xf>
    <xf numFmtId="16" fontId="8" fillId="0" borderId="1" xfId="0" applyNumberFormat="1" applyFont="1" applyBorder="1"/>
    <xf numFmtId="0" fontId="8" fillId="0" borderId="3" xfId="0" applyFont="1" applyBorder="1"/>
    <xf numFmtId="16" fontId="8" fillId="0" borderId="5" xfId="0" applyNumberFormat="1" applyFont="1" applyBorder="1"/>
    <xf numFmtId="0" fontId="8" fillId="0" borderId="12" xfId="0" applyFont="1" applyBorder="1"/>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vertical="center"/>
    </xf>
    <xf numFmtId="0" fontId="0" fillId="0" borderId="13" xfId="0" applyBorder="1" applyAlignment="1">
      <alignment horizontal="center"/>
    </xf>
    <xf numFmtId="15"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0" xfId="0" applyAlignment="1">
      <alignment wrapText="1"/>
    </xf>
    <xf numFmtId="0" fontId="2" fillId="9" borderId="1" xfId="2"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applyAlignment="1">
      <alignment horizontal="center" vertical="center" wrapText="1"/>
    </xf>
    <xf numFmtId="0" fontId="10" fillId="13" borderId="1" xfId="0" applyFont="1" applyFill="1" applyBorder="1" applyAlignment="1">
      <alignment horizontal="center" vertical="center"/>
    </xf>
    <xf numFmtId="16" fontId="10" fillId="13" borderId="1" xfId="0" applyNumberFormat="1" applyFont="1" applyFill="1" applyBorder="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xf>
    <xf numFmtId="0" fontId="8" fillId="0" borderId="0" xfId="0" applyFont="1"/>
    <xf numFmtId="0" fontId="8" fillId="0" borderId="6" xfId="0" applyFont="1" applyBorder="1"/>
    <xf numFmtId="0" fontId="0" fillId="0" borderId="3" xfId="0" applyBorder="1"/>
    <xf numFmtId="0" fontId="0" fillId="0" borderId="0" xfId="0" applyAlignment="1">
      <alignment vertical="center"/>
    </xf>
    <xf numFmtId="0" fontId="0" fillId="15" borderId="9" xfId="0" applyFill="1" applyBorder="1" applyAlignment="1">
      <alignment horizontal="center" vertical="center"/>
    </xf>
    <xf numFmtId="0" fontId="0" fillId="15" borderId="2" xfId="0" applyFill="1"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15" borderId="1" xfId="0" applyFill="1" applyBorder="1" applyAlignment="1">
      <alignment horizontal="center"/>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16" fontId="8" fillId="0" borderId="9" xfId="0" applyNumberFormat="1" applyFont="1" applyBorder="1"/>
    <xf numFmtId="0" fontId="8" fillId="0" borderId="18" xfId="0" applyFont="1" applyBorder="1"/>
    <xf numFmtId="0" fontId="8" fillId="0" borderId="8" xfId="0" applyFont="1" applyBorder="1"/>
    <xf numFmtId="16" fontId="0" fillId="0" borderId="6" xfId="0" applyNumberFormat="1" applyBorder="1"/>
    <xf numFmtId="0" fontId="13" fillId="3" borderId="19" xfId="0" applyFont="1" applyFill="1" applyBorder="1"/>
    <xf numFmtId="0" fontId="14" fillId="3" borderId="20" xfId="0" applyFont="1" applyFill="1" applyBorder="1"/>
    <xf numFmtId="0" fontId="14" fillId="3" borderId="21" xfId="0" applyFont="1" applyFill="1" applyBorder="1"/>
    <xf numFmtId="0" fontId="14" fillId="0" borderId="0" xfId="0" applyFont="1"/>
    <xf numFmtId="0" fontId="14" fillId="0" borderId="0" xfId="0" applyFont="1" applyAlignment="1">
      <alignment horizontal="center"/>
    </xf>
    <xf numFmtId="0" fontId="14" fillId="0" borderId="22" xfId="0" applyFont="1" applyBorder="1"/>
    <xf numFmtId="0" fontId="14" fillId="0" borderId="23" xfId="0" applyFont="1" applyBorder="1"/>
    <xf numFmtId="0" fontId="14" fillId="0" borderId="24" xfId="0" applyFont="1" applyBorder="1"/>
    <xf numFmtId="0" fontId="14" fillId="0" borderId="25" xfId="0" applyFont="1" applyBorder="1"/>
    <xf numFmtId="0" fontId="14" fillId="0" borderId="26" xfId="0" applyFont="1" applyBorder="1"/>
    <xf numFmtId="0" fontId="4" fillId="9" borderId="1" xfId="0" applyFont="1" applyFill="1" applyBorder="1" applyAlignment="1">
      <alignment horizontal="left" vertical="center"/>
    </xf>
    <xf numFmtId="0" fontId="0" fillId="0" borderId="13" xfId="0" applyBorder="1"/>
    <xf numFmtId="0" fontId="0" fillId="18" borderId="0" xfId="0" applyFill="1"/>
    <xf numFmtId="15" fontId="0" fillId="0" borderId="6" xfId="0" applyNumberFormat="1" applyBorder="1" applyAlignment="1">
      <alignment horizontal="center"/>
    </xf>
    <xf numFmtId="0" fontId="1" fillId="4" borderId="0" xfId="1"/>
    <xf numFmtId="0" fontId="0" fillId="0" borderId="2" xfId="0" applyBorder="1"/>
    <xf numFmtId="0" fontId="0" fillId="0" borderId="27" xfId="0" applyBorder="1"/>
    <xf numFmtId="0" fontId="9" fillId="0" borderId="0" xfId="0" applyFont="1" applyAlignment="1">
      <alignment horizontal="left" vertical="top" wrapText="1"/>
    </xf>
    <xf numFmtId="0" fontId="0" fillId="17" borderId="1" xfId="0" applyFill="1" applyBorder="1" applyAlignment="1">
      <alignment horizontal="center" vertical="center"/>
    </xf>
    <xf numFmtId="0" fontId="0" fillId="2" borderId="1" xfId="0" applyFill="1" applyBorder="1"/>
    <xf numFmtId="0" fontId="0" fillId="0" borderId="6" xfId="0" applyBorder="1" applyAlignment="1">
      <alignment horizontal="center" wrapText="1"/>
    </xf>
    <xf numFmtId="0" fontId="0" fillId="0" borderId="6" xfId="0" applyBorder="1" applyAlignment="1">
      <alignment horizontal="left" wrapText="1"/>
    </xf>
    <xf numFmtId="0" fontId="0" fillId="0" borderId="8" xfId="0" applyBorder="1" applyAlignment="1">
      <alignment horizontal="center" wrapText="1"/>
    </xf>
    <xf numFmtId="0" fontId="0" fillId="0" borderId="8" xfId="0" applyBorder="1" applyAlignment="1">
      <alignment horizontal="left" wrapText="1"/>
    </xf>
    <xf numFmtId="16" fontId="0" fillId="0" borderId="8" xfId="0" applyNumberFormat="1" applyBorder="1" applyAlignment="1">
      <alignment horizontal="center"/>
    </xf>
    <xf numFmtId="0" fontId="2" fillId="9" borderId="4" xfId="2" applyFill="1" applyBorder="1" applyAlignment="1">
      <alignment horizontal="center" vertical="center"/>
    </xf>
    <xf numFmtId="0" fontId="7"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49" fontId="0" fillId="0" borderId="0" xfId="0" applyNumberFormat="1"/>
    <xf numFmtId="0" fontId="9" fillId="0" borderId="0" xfId="0" applyFont="1" applyAlignment="1">
      <alignment horizontal="left" vertical="top"/>
    </xf>
    <xf numFmtId="15" fontId="0" fillId="0" borderId="0" xfId="0" applyNumberFormat="1" applyAlignment="1">
      <alignment horizontal="center"/>
    </xf>
    <xf numFmtId="0" fontId="0" fillId="6" borderId="0" xfId="0" applyFill="1"/>
    <xf numFmtId="0" fontId="0" fillId="0" borderId="29" xfId="0" applyBorder="1" applyAlignment="1">
      <alignment horizontal="center"/>
    </xf>
    <xf numFmtId="15" fontId="0" fillId="0" borderId="8" xfId="0" applyNumberFormat="1" applyBorder="1" applyAlignment="1">
      <alignment horizontal="center"/>
    </xf>
    <xf numFmtId="0" fontId="0" fillId="0" borderId="31" xfId="0" applyBorder="1" applyAlignment="1">
      <alignment horizontal="center"/>
    </xf>
    <xf numFmtId="0" fontId="0" fillId="0" borderId="15" xfId="0" applyBorder="1" applyAlignment="1">
      <alignment horizontal="center"/>
    </xf>
    <xf numFmtId="0" fontId="17" fillId="0" borderId="0" xfId="0" applyFont="1"/>
    <xf numFmtId="0" fontId="0" fillId="0" borderId="0" xfId="0" applyAlignment="1">
      <alignment horizontal="left" vertical="center"/>
    </xf>
    <xf numFmtId="49" fontId="0" fillId="0" borderId="0" xfId="0" quotePrefix="1" applyNumberFormat="1"/>
    <xf numFmtId="0" fontId="0" fillId="0" borderId="0" xfId="0" applyAlignment="1">
      <alignment vertical="top" wrapText="1"/>
    </xf>
    <xf numFmtId="0" fontId="0" fillId="0" borderId="0" xfId="0" applyAlignment="1">
      <alignment vertical="top"/>
    </xf>
    <xf numFmtId="0" fontId="3" fillId="0" borderId="0" xfId="3"/>
    <xf numFmtId="164" fontId="0" fillId="0" borderId="1" xfId="0" applyNumberFormat="1" applyBorder="1" applyAlignment="1">
      <alignment horizontal="center" vertical="center"/>
    </xf>
    <xf numFmtId="0" fontId="16" fillId="0" borderId="1" xfId="0" applyFon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vertical="center" wrapText="1"/>
    </xf>
    <xf numFmtId="0" fontId="12" fillId="0" borderId="1" xfId="0" applyFont="1" applyBorder="1" applyAlignment="1">
      <alignment horizontal="center" vertical="center"/>
    </xf>
    <xf numFmtId="0" fontId="12" fillId="0" borderId="3" xfId="0" applyFont="1" applyBorder="1" applyAlignment="1">
      <alignment horizontal="center" vertical="center"/>
    </xf>
    <xf numFmtId="164" fontId="0" fillId="0" borderId="6" xfId="0" applyNumberFormat="1" applyBorder="1" applyAlignment="1">
      <alignment horizontal="center" vertical="center"/>
    </xf>
    <xf numFmtId="0" fontId="0" fillId="0" borderId="9" xfId="0" applyBorder="1"/>
    <xf numFmtId="0" fontId="16" fillId="0" borderId="6" xfId="0" applyFont="1" applyBorder="1" applyAlignment="1">
      <alignment horizontal="center"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16" fillId="0" borderId="4" xfId="0" applyFont="1" applyBorder="1" applyAlignment="1">
      <alignment horizontal="center" vertical="center"/>
    </xf>
    <xf numFmtId="0" fontId="0" fillId="0" borderId="6" xfId="0" applyBorder="1" applyAlignment="1">
      <alignment wrapText="1"/>
    </xf>
    <xf numFmtId="0" fontId="0" fillId="0" borderId="11" xfId="0" applyBorder="1"/>
    <xf numFmtId="0" fontId="0" fillId="2" borderId="6" xfId="0" applyFill="1" applyBorder="1"/>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7" fillId="9"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17" fontId="0" fillId="0" borderId="6" xfId="0" applyNumberFormat="1" applyBorder="1" applyAlignment="1">
      <alignment horizontal="center"/>
    </xf>
    <xf numFmtId="0" fontId="0" fillId="0" borderId="32" xfId="0" applyBorder="1" applyAlignment="1">
      <alignment horizontal="center"/>
    </xf>
    <xf numFmtId="0" fontId="0" fillId="0" borderId="0" xfId="0" applyAlignment="1">
      <alignment horizontal="left"/>
    </xf>
    <xf numFmtId="0" fontId="20" fillId="25" borderId="1" xfId="0" applyFont="1" applyFill="1" applyBorder="1" applyAlignment="1">
      <alignment wrapText="1"/>
    </xf>
    <xf numFmtId="0" fontId="20" fillId="25" borderId="3" xfId="0" applyFont="1" applyFill="1" applyBorder="1" applyAlignment="1">
      <alignment wrapText="1"/>
    </xf>
    <xf numFmtId="0" fontId="18" fillId="20" borderId="12" xfId="0" applyFont="1" applyFill="1" applyBorder="1" applyAlignment="1">
      <alignment wrapText="1"/>
    </xf>
    <xf numFmtId="0" fontId="5" fillId="0" borderId="12" xfId="0" applyFont="1" applyBorder="1" applyAlignment="1">
      <alignment wrapText="1"/>
    </xf>
    <xf numFmtId="0" fontId="5" fillId="0" borderId="5" xfId="0" applyFont="1" applyBorder="1" applyAlignment="1">
      <alignment wrapText="1"/>
    </xf>
    <xf numFmtId="0" fontId="5" fillId="26" borderId="12" xfId="0" applyFont="1" applyFill="1" applyBorder="1" applyAlignment="1">
      <alignment wrapText="1"/>
    </xf>
    <xf numFmtId="0" fontId="5" fillId="24" borderId="12" xfId="0" applyFont="1" applyFill="1" applyBorder="1" applyAlignment="1">
      <alignment wrapText="1"/>
    </xf>
    <xf numFmtId="16" fontId="5" fillId="24" borderId="12" xfId="0" applyNumberFormat="1" applyFont="1" applyFill="1" applyBorder="1" applyAlignment="1">
      <alignment wrapText="1"/>
    </xf>
    <xf numFmtId="0" fontId="5" fillId="0" borderId="12" xfId="0" quotePrefix="1" applyFont="1" applyBorder="1" applyAlignment="1">
      <alignment wrapText="1"/>
    </xf>
    <xf numFmtId="16" fontId="5" fillId="0" borderId="12" xfId="0" applyNumberFormat="1" applyFont="1" applyBorder="1" applyAlignment="1">
      <alignment wrapText="1"/>
    </xf>
    <xf numFmtId="0" fontId="19" fillId="0" borderId="3" xfId="0" applyFont="1" applyBorder="1" applyAlignment="1">
      <alignment wrapText="1"/>
    </xf>
    <xf numFmtId="0" fontId="5" fillId="0" borderId="12" xfId="0" applyFont="1" applyBorder="1" applyAlignment="1">
      <alignment horizontal="center"/>
    </xf>
    <xf numFmtId="0" fontId="18" fillId="20" borderId="12" xfId="0" applyFont="1" applyFill="1" applyBorder="1" applyAlignment="1">
      <alignment horizontal="center" wrapText="1"/>
    </xf>
    <xf numFmtId="0" fontId="18" fillId="20" borderId="27" xfId="0" applyFont="1" applyFill="1" applyBorder="1" applyAlignment="1">
      <alignment wrapText="1"/>
    </xf>
    <xf numFmtId="0" fontId="18" fillId="20" borderId="33" xfId="0" applyFont="1" applyFill="1" applyBorder="1" applyAlignment="1">
      <alignment wrapText="1"/>
    </xf>
    <xf numFmtId="0" fontId="5" fillId="0" borderId="0" xfId="0" applyFont="1" applyAlignment="1">
      <alignment wrapText="1"/>
    </xf>
    <xf numFmtId="0" fontId="5" fillId="0" borderId="9" xfId="0" applyFont="1" applyBorder="1" applyAlignment="1">
      <alignment wrapText="1"/>
    </xf>
    <xf numFmtId="0" fontId="5" fillId="0" borderId="1" xfId="0" applyFont="1" applyBorder="1" applyAlignment="1">
      <alignment wrapText="1"/>
    </xf>
    <xf numFmtId="0" fontId="5" fillId="26" borderId="12" xfId="0" applyFont="1" applyFill="1" applyBorder="1" applyAlignment="1">
      <alignment horizontal="center" wrapText="1"/>
    </xf>
    <xf numFmtId="0" fontId="5" fillId="0" borderId="12" xfId="0" applyFont="1" applyBorder="1" applyAlignment="1">
      <alignment horizontal="center" wrapText="1"/>
    </xf>
    <xf numFmtId="16" fontId="5" fillId="0" borderId="12" xfId="0" applyNumberFormat="1" applyFont="1" applyBorder="1" applyAlignment="1">
      <alignment horizontal="center" wrapText="1"/>
    </xf>
    <xf numFmtId="0" fontId="18" fillId="23" borderId="12" xfId="0" applyFont="1" applyFill="1" applyBorder="1" applyAlignment="1">
      <alignment horizontal="center" wrapText="1"/>
    </xf>
    <xf numFmtId="0" fontId="5" fillId="0" borderId="0" xfId="0" applyFont="1" applyAlignment="1">
      <alignment horizontal="center" wrapText="1"/>
    </xf>
    <xf numFmtId="0" fontId="20" fillId="25" borderId="3" xfId="0" applyFont="1" applyFill="1" applyBorder="1" applyAlignment="1">
      <alignment horizontal="center" wrapText="1"/>
    </xf>
    <xf numFmtId="0" fontId="5" fillId="0" borderId="9" xfId="0" applyFont="1" applyBorder="1" applyAlignment="1">
      <alignment vertical="top" wrapText="1"/>
    </xf>
    <xf numFmtId="0" fontId="5" fillId="24" borderId="18" xfId="0" applyFont="1" applyFill="1" applyBorder="1" applyAlignment="1">
      <alignment vertical="top" wrapText="1"/>
    </xf>
    <xf numFmtId="0" fontId="5" fillId="0" borderId="18" xfId="0" applyFont="1" applyBorder="1" applyAlignment="1">
      <alignment vertical="top" wrapText="1"/>
    </xf>
    <xf numFmtId="0" fontId="5" fillId="0" borderId="18" xfId="0" applyFont="1" applyBorder="1" applyAlignment="1">
      <alignment horizontal="center" vertical="top" wrapText="1"/>
    </xf>
    <xf numFmtId="0" fontId="5" fillId="0" borderId="0" xfId="0" applyFont="1" applyAlignment="1">
      <alignment horizontal="center" vertical="top" wrapText="1"/>
    </xf>
    <xf numFmtId="0" fontId="5" fillId="0" borderId="27" xfId="0" applyFont="1" applyBorder="1" applyAlignment="1">
      <alignment horizontal="center" vertical="top" wrapText="1"/>
    </xf>
    <xf numFmtId="15" fontId="5" fillId="21" borderId="18" xfId="0" applyNumberFormat="1" applyFont="1" applyFill="1" applyBorder="1" applyAlignment="1">
      <alignment horizontal="center" vertical="top" wrapText="1"/>
    </xf>
    <xf numFmtId="15" fontId="5" fillId="26" borderId="18" xfId="0" applyNumberFormat="1" applyFont="1" applyFill="1" applyBorder="1" applyAlignment="1">
      <alignment horizontal="center" vertical="top" wrapText="1"/>
    </xf>
    <xf numFmtId="15" fontId="5" fillId="22" borderId="18" xfId="0" applyNumberFormat="1" applyFont="1" applyFill="1" applyBorder="1" applyAlignment="1">
      <alignment horizontal="center" vertical="top" wrapText="1"/>
    </xf>
    <xf numFmtId="15" fontId="5" fillId="22" borderId="18" xfId="0" applyNumberFormat="1" applyFont="1" applyFill="1" applyBorder="1" applyAlignment="1">
      <alignment vertical="top" wrapText="1"/>
    </xf>
    <xf numFmtId="0" fontId="5" fillId="0" borderId="12" xfId="0" applyFont="1" applyBorder="1" applyAlignment="1">
      <alignment vertical="top" wrapText="1"/>
    </xf>
    <xf numFmtId="0" fontId="5" fillId="26" borderId="18" xfId="0" applyFont="1" applyFill="1" applyBorder="1" applyAlignment="1">
      <alignment vertical="top" wrapText="1"/>
    </xf>
    <xf numFmtId="0" fontId="5" fillId="0" borderId="1" xfId="0" applyFont="1" applyBorder="1" applyAlignment="1">
      <alignment vertical="top" wrapText="1"/>
    </xf>
    <xf numFmtId="0" fontId="5" fillId="24" borderId="3" xfId="0" applyFont="1" applyFill="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15" fontId="5" fillId="21" borderId="29" xfId="0" applyNumberFormat="1" applyFont="1" applyFill="1" applyBorder="1" applyAlignment="1">
      <alignment horizontal="center" vertical="top" wrapText="1"/>
    </xf>
    <xf numFmtId="15" fontId="5" fillId="26" borderId="29" xfId="0" applyNumberFormat="1" applyFont="1" applyFill="1" applyBorder="1" applyAlignment="1">
      <alignment horizontal="center" vertical="top" wrapText="1"/>
    </xf>
    <xf numFmtId="15" fontId="5" fillId="22" borderId="29" xfId="0" applyNumberFormat="1" applyFont="1" applyFill="1" applyBorder="1" applyAlignment="1">
      <alignment horizontal="center" vertical="top" wrapText="1"/>
    </xf>
    <xf numFmtId="15" fontId="5" fillId="26" borderId="3" xfId="0" applyNumberFormat="1" applyFont="1" applyFill="1" applyBorder="1" applyAlignment="1">
      <alignment horizontal="center" vertical="top" wrapText="1"/>
    </xf>
    <xf numFmtId="15" fontId="5" fillId="22" borderId="3" xfId="0" applyNumberFormat="1" applyFont="1" applyFill="1" applyBorder="1" applyAlignment="1">
      <alignment vertical="top" wrapText="1"/>
    </xf>
    <xf numFmtId="15" fontId="5" fillId="22" borderId="29" xfId="0" applyNumberFormat="1" applyFont="1" applyFill="1" applyBorder="1" applyAlignment="1">
      <alignment vertical="top" wrapText="1"/>
    </xf>
    <xf numFmtId="0" fontId="5" fillId="26" borderId="3" xfId="0" applyFont="1" applyFill="1" applyBorder="1" applyAlignment="1">
      <alignment vertical="top" wrapText="1"/>
    </xf>
    <xf numFmtId="0" fontId="5" fillId="0" borderId="5" xfId="0" applyFont="1" applyBorder="1" applyAlignment="1">
      <alignment vertical="top" wrapText="1"/>
    </xf>
    <xf numFmtId="0" fontId="5" fillId="24" borderId="12" xfId="0" applyFont="1" applyFill="1" applyBorder="1" applyAlignment="1">
      <alignment vertical="top" wrapText="1"/>
    </xf>
    <xf numFmtId="0" fontId="5" fillId="0" borderId="12" xfId="0" applyFont="1" applyBorder="1" applyAlignment="1">
      <alignment horizontal="center" vertical="top" wrapText="1"/>
    </xf>
    <xf numFmtId="15" fontId="5" fillId="0" borderId="12" xfId="0" applyNumberFormat="1" applyFont="1" applyBorder="1" applyAlignment="1">
      <alignment horizontal="center" vertical="top" wrapText="1"/>
    </xf>
    <xf numFmtId="15" fontId="5" fillId="24" borderId="3" xfId="0" applyNumberFormat="1" applyFont="1" applyFill="1" applyBorder="1" applyAlignment="1">
      <alignment horizontal="center" vertical="top" wrapText="1"/>
    </xf>
    <xf numFmtId="15" fontId="5" fillId="26" borderId="12" xfId="0" applyNumberFormat="1" applyFont="1" applyFill="1" applyBorder="1" applyAlignment="1">
      <alignment horizontal="center" vertical="top" wrapText="1"/>
    </xf>
    <xf numFmtId="15" fontId="5" fillId="24" borderId="12" xfId="0" applyNumberFormat="1" applyFont="1" applyFill="1" applyBorder="1" applyAlignment="1">
      <alignment vertical="top" wrapText="1"/>
    </xf>
    <xf numFmtId="0" fontId="5" fillId="24" borderId="29" xfId="0" applyFont="1" applyFill="1" applyBorder="1" applyAlignment="1">
      <alignment vertical="top" wrapText="1"/>
    </xf>
    <xf numFmtId="15" fontId="5" fillId="24" borderId="3" xfId="0" applyNumberFormat="1" applyFont="1" applyFill="1" applyBorder="1" applyAlignment="1">
      <alignment vertical="top" wrapText="1"/>
    </xf>
    <xf numFmtId="0" fontId="5" fillId="26" borderId="12" xfId="0" applyFont="1" applyFill="1" applyBorder="1" applyAlignment="1">
      <alignment vertical="top" wrapText="1"/>
    </xf>
    <xf numFmtId="15" fontId="5" fillId="24" borderId="29" xfId="0" applyNumberFormat="1" applyFont="1" applyFill="1" applyBorder="1" applyAlignment="1">
      <alignment vertical="top" wrapText="1"/>
    </xf>
    <xf numFmtId="15" fontId="5" fillId="24" borderId="12" xfId="0" applyNumberFormat="1" applyFont="1" applyFill="1" applyBorder="1" applyAlignment="1">
      <alignment horizontal="center" vertical="top" wrapText="1"/>
    </xf>
    <xf numFmtId="0" fontId="5" fillId="26" borderId="12" xfId="0" applyFont="1" applyFill="1" applyBorder="1" applyAlignment="1">
      <alignment horizontal="center" vertical="top" wrapText="1"/>
    </xf>
    <xf numFmtId="0" fontId="21" fillId="0" borderId="12" xfId="0" applyFont="1" applyBorder="1" applyAlignment="1">
      <alignment horizontal="center" vertical="top" wrapText="1"/>
    </xf>
    <xf numFmtId="0" fontId="20" fillId="0" borderId="12" xfId="0" applyFont="1" applyBorder="1" applyAlignment="1">
      <alignment vertical="top" wrapText="1"/>
    </xf>
    <xf numFmtId="0" fontId="5" fillId="0" borderId="12" xfId="0" quotePrefix="1" applyFont="1" applyBorder="1" applyAlignment="1">
      <alignment vertical="top" wrapText="1"/>
    </xf>
    <xf numFmtId="16" fontId="5" fillId="24" borderId="12" xfId="0" applyNumberFormat="1" applyFont="1" applyFill="1" applyBorder="1" applyAlignment="1">
      <alignment horizontal="center" vertical="top" wrapText="1"/>
    </xf>
    <xf numFmtId="16" fontId="5" fillId="24" borderId="12" xfId="0" applyNumberFormat="1" applyFont="1" applyFill="1" applyBorder="1" applyAlignment="1">
      <alignment vertical="top" wrapText="1"/>
    </xf>
    <xf numFmtId="0" fontId="5" fillId="27" borderId="12" xfId="0" applyFont="1" applyFill="1" applyBorder="1" applyAlignment="1">
      <alignment horizontal="center" vertical="top" wrapText="1"/>
    </xf>
    <xf numFmtId="0" fontId="5" fillId="24" borderId="12" xfId="0" applyFont="1" applyFill="1" applyBorder="1" applyAlignment="1">
      <alignment horizontal="center" vertical="top" wrapText="1"/>
    </xf>
    <xf numFmtId="15" fontId="5" fillId="0" borderId="12" xfId="0" applyNumberFormat="1" applyFont="1" applyBorder="1" applyAlignment="1">
      <alignment vertical="top" wrapText="1"/>
    </xf>
    <xf numFmtId="15" fontId="22" fillId="26" borderId="12" xfId="0" applyNumberFormat="1" applyFont="1" applyFill="1" applyBorder="1" applyAlignment="1">
      <alignment horizontal="center" vertical="top" wrapText="1"/>
    </xf>
    <xf numFmtId="0" fontId="25" fillId="28" borderId="3" xfId="0" applyFont="1" applyFill="1" applyBorder="1" applyAlignment="1">
      <alignment wrapText="1"/>
    </xf>
    <xf numFmtId="0" fontId="25" fillId="20" borderId="3" xfId="0" applyFont="1" applyFill="1" applyBorder="1" applyAlignment="1">
      <alignment horizontal="center" wrapText="1"/>
    </xf>
    <xf numFmtId="0" fontId="26" fillId="0" borderId="0" xfId="0" applyFont="1"/>
    <xf numFmtId="0" fontId="27" fillId="0" borderId="12" xfId="0" applyFont="1" applyBorder="1" applyAlignment="1">
      <alignment vertical="top" wrapText="1"/>
    </xf>
    <xf numFmtId="0" fontId="27" fillId="0" borderId="14" xfId="0" applyFont="1" applyBorder="1" applyAlignment="1">
      <alignment vertical="top"/>
    </xf>
    <xf numFmtId="0" fontId="27" fillId="0" borderId="5" xfId="0" applyFont="1" applyBorder="1" applyAlignment="1">
      <alignment horizontal="center" vertical="top"/>
    </xf>
    <xf numFmtId="0" fontId="27" fillId="0" borderId="12" xfId="0" applyFont="1" applyBorder="1" applyAlignment="1">
      <alignment horizontal="center" vertical="top" wrapText="1"/>
    </xf>
    <xf numFmtId="0" fontId="27" fillId="0" borderId="12" xfId="0" applyFont="1" applyBorder="1" applyAlignment="1">
      <alignment horizontal="center" vertical="top"/>
    </xf>
    <xf numFmtId="0" fontId="26" fillId="0" borderId="0" xfId="0" applyFont="1" applyAlignment="1">
      <alignment vertical="top"/>
    </xf>
    <xf numFmtId="0" fontId="27" fillId="0" borderId="12" xfId="0" applyFont="1" applyBorder="1" applyAlignment="1">
      <alignment vertical="top"/>
    </xf>
    <xf numFmtId="0" fontId="27" fillId="0" borderId="34" xfId="0" applyFont="1" applyBorder="1" applyAlignment="1">
      <alignment vertical="top"/>
    </xf>
    <xf numFmtId="0" fontId="27" fillId="0" borderId="0" xfId="0" applyFont="1" applyAlignment="1">
      <alignment vertical="top"/>
    </xf>
    <xf numFmtId="0" fontId="27" fillId="0" borderId="27" xfId="0" applyFont="1" applyBorder="1" applyAlignment="1">
      <alignment vertical="top"/>
    </xf>
    <xf numFmtId="0" fontId="28" fillId="0" borderId="5" xfId="0" applyFont="1" applyBorder="1" applyAlignment="1">
      <alignment horizontal="center" vertical="top" wrapText="1"/>
    </xf>
    <xf numFmtId="0" fontId="27" fillId="0" borderId="35" xfId="0" applyFont="1" applyBorder="1" applyAlignment="1">
      <alignment horizontal="center" vertical="top"/>
    </xf>
    <xf numFmtId="0" fontId="27" fillId="0" borderId="0" xfId="0" applyFont="1" applyAlignment="1">
      <alignment horizontal="center" vertical="top"/>
    </xf>
    <xf numFmtId="0" fontId="27" fillId="0" borderId="13" xfId="0" applyFont="1" applyBorder="1" applyAlignment="1">
      <alignment horizontal="center" vertical="top"/>
    </xf>
    <xf numFmtId="0" fontId="27" fillId="0" borderId="13" xfId="0" applyFont="1" applyBorder="1" applyAlignment="1">
      <alignment horizontal="center" vertical="top" wrapText="1"/>
    </xf>
    <xf numFmtId="0" fontId="27" fillId="0" borderId="18" xfId="0" applyFont="1" applyBorder="1" applyAlignment="1">
      <alignment vertical="top"/>
    </xf>
    <xf numFmtId="0" fontId="27" fillId="0" borderId="34" xfId="0" applyFont="1" applyBorder="1" applyAlignment="1">
      <alignment horizontal="center" vertical="top"/>
    </xf>
    <xf numFmtId="0" fontId="27" fillId="0" borderId="13" xfId="0" applyFont="1" applyBorder="1" applyAlignment="1">
      <alignment vertical="top"/>
    </xf>
    <xf numFmtId="0" fontId="27" fillId="0" borderId="36" xfId="0" applyFont="1" applyBorder="1" applyAlignment="1">
      <alignment vertical="top"/>
    </xf>
    <xf numFmtId="0" fontId="27" fillId="0" borderId="34" xfId="0" applyFont="1" applyBorder="1" applyAlignment="1">
      <alignment vertical="top" wrapText="1"/>
    </xf>
    <xf numFmtId="0" fontId="27" fillId="0" borderId="37" xfId="0" applyFont="1" applyBorder="1" applyAlignment="1">
      <alignment vertical="top"/>
    </xf>
    <xf numFmtId="0" fontId="27" fillId="0" borderId="34" xfId="0" applyFont="1" applyBorder="1" applyAlignment="1">
      <alignment horizontal="center" vertical="top" wrapText="1"/>
    </xf>
    <xf numFmtId="0" fontId="27" fillId="0" borderId="35" xfId="0" applyFont="1" applyBorder="1" applyAlignment="1">
      <alignment vertical="top"/>
    </xf>
    <xf numFmtId="0" fontId="29" fillId="0" borderId="34" xfId="0" applyFont="1" applyBorder="1" applyAlignment="1">
      <alignment vertical="top"/>
    </xf>
    <xf numFmtId="0" fontId="29" fillId="0" borderId="5" xfId="0" applyFont="1" applyBorder="1" applyAlignment="1">
      <alignment horizontal="center" vertical="top" wrapText="1"/>
    </xf>
    <xf numFmtId="0" fontId="30" fillId="0" borderId="34" xfId="0" applyFont="1" applyBorder="1" applyAlignment="1">
      <alignment horizontal="center" vertical="top"/>
    </xf>
    <xf numFmtId="0" fontId="31" fillId="0" borderId="5" xfId="0" applyFont="1" applyBorder="1" applyAlignment="1">
      <alignment horizontal="center" vertical="top" wrapText="1"/>
    </xf>
    <xf numFmtId="0" fontId="26" fillId="0" borderId="0" xfId="0" applyFont="1" applyAlignment="1">
      <alignment horizontal="center"/>
    </xf>
    <xf numFmtId="0" fontId="25" fillId="28" borderId="1" xfId="0" applyFont="1" applyFill="1" applyBorder="1" applyAlignment="1">
      <alignment horizontal="center" wrapText="1"/>
    </xf>
    <xf numFmtId="0" fontId="33" fillId="0" borderId="12" xfId="0" applyFont="1" applyBorder="1" applyAlignment="1">
      <alignment horizontal="left" wrapText="1"/>
    </xf>
    <xf numFmtId="0" fontId="33" fillId="0" borderId="18" xfId="0" applyFont="1" applyBorder="1" applyAlignment="1">
      <alignment horizontal="left" wrapText="1"/>
    </xf>
    <xf numFmtId="0" fontId="32" fillId="6" borderId="18" xfId="0" applyFont="1" applyFill="1" applyBorder="1" applyAlignment="1">
      <alignment horizontal="left" vertical="top" wrapText="1"/>
    </xf>
    <xf numFmtId="0" fontId="32" fillId="6" borderId="3" xfId="0" applyFont="1" applyFill="1" applyBorder="1" applyAlignment="1">
      <alignment horizontal="left" vertical="top" wrapText="1"/>
    </xf>
    <xf numFmtId="0" fontId="32" fillId="6" borderId="12" xfId="0" applyFont="1" applyFill="1" applyBorder="1" applyAlignment="1">
      <alignment horizontal="left" vertical="top" wrapText="1"/>
    </xf>
    <xf numFmtId="0" fontId="32" fillId="0" borderId="12" xfId="0" applyFont="1" applyBorder="1" applyAlignment="1">
      <alignment horizontal="left" vertical="top" wrapText="1"/>
    </xf>
    <xf numFmtId="0" fontId="35" fillId="0" borderId="0" xfId="0" applyFont="1" applyAlignment="1">
      <alignment wrapText="1"/>
    </xf>
    <xf numFmtId="0" fontId="36" fillId="0" borderId="0" xfId="0" applyFont="1"/>
    <xf numFmtId="0" fontId="35" fillId="0" borderId="0" xfId="0" applyFont="1" applyAlignment="1">
      <alignment horizontal="center" wrapText="1"/>
    </xf>
    <xf numFmtId="0" fontId="39" fillId="0" borderId="3" xfId="0" applyFont="1" applyBorder="1" applyAlignment="1">
      <alignment horizontal="left" wrapText="1"/>
    </xf>
    <xf numFmtId="0" fontId="40" fillId="25" borderId="1" xfId="0" applyFont="1" applyFill="1" applyBorder="1" applyAlignment="1">
      <alignment horizontal="center" wrapText="1"/>
    </xf>
    <xf numFmtId="0" fontId="41" fillId="0" borderId="3" xfId="1" applyFont="1" applyFill="1" applyBorder="1" applyAlignment="1">
      <alignment horizontal="left" vertical="top" wrapText="1"/>
    </xf>
    <xf numFmtId="0" fontId="36" fillId="0" borderId="0" xfId="0" applyFont="1" applyAlignment="1">
      <alignment vertical="top"/>
    </xf>
    <xf numFmtId="15" fontId="41" fillId="0" borderId="3" xfId="1" applyNumberFormat="1" applyFont="1" applyFill="1" applyBorder="1" applyAlignment="1">
      <alignment horizontal="center" vertical="top" wrapText="1"/>
    </xf>
    <xf numFmtId="0" fontId="36" fillId="0" borderId="0" xfId="0" applyFont="1" applyAlignment="1">
      <alignment horizontal="left" vertical="top"/>
    </xf>
    <xf numFmtId="0" fontId="36" fillId="0" borderId="0" xfId="0" applyFont="1" applyAlignment="1">
      <alignment horizontal="center" vertical="top"/>
    </xf>
    <xf numFmtId="0" fontId="35" fillId="0" borderId="12" xfId="0" applyFont="1" applyBorder="1" applyAlignment="1">
      <alignment horizontal="left" vertical="top" wrapText="1"/>
    </xf>
    <xf numFmtId="0" fontId="35" fillId="0" borderId="9" xfId="0" applyFont="1" applyBorder="1" applyAlignment="1">
      <alignment wrapText="1"/>
    </xf>
    <xf numFmtId="0" fontId="35" fillId="0" borderId="12" xfId="0" applyFont="1" applyBorder="1" applyAlignment="1">
      <alignment wrapText="1"/>
    </xf>
    <xf numFmtId="0" fontId="35" fillId="0" borderId="12" xfId="0" applyFont="1" applyBorder="1" applyAlignment="1">
      <alignment horizontal="center" wrapText="1"/>
    </xf>
    <xf numFmtId="0" fontId="35" fillId="0" borderId="12" xfId="0" applyFont="1" applyBorder="1" applyAlignment="1">
      <alignment horizontal="center"/>
    </xf>
    <xf numFmtId="0" fontId="35" fillId="0" borderId="12" xfId="0" applyFont="1" applyBorder="1" applyAlignment="1">
      <alignment horizontal="left" wrapText="1"/>
    </xf>
    <xf numFmtId="0" fontId="35" fillId="0" borderId="1" xfId="0" applyFont="1" applyBorder="1" applyAlignment="1">
      <alignment wrapText="1"/>
    </xf>
    <xf numFmtId="0" fontId="35" fillId="0" borderId="5" xfId="0" applyFont="1" applyBorder="1" applyAlignment="1">
      <alignment wrapText="1"/>
    </xf>
    <xf numFmtId="0" fontId="35" fillId="0" borderId="38" xfId="0" applyFont="1" applyBorder="1" applyAlignment="1">
      <alignment horizontal="center" wrapText="1"/>
    </xf>
    <xf numFmtId="0" fontId="36" fillId="0" borderId="0" xfId="0" applyFont="1" applyAlignment="1">
      <alignment horizontal="center"/>
    </xf>
    <xf numFmtId="0" fontId="36" fillId="0" borderId="0" xfId="0" applyFont="1" applyAlignment="1">
      <alignment horizontal="left"/>
    </xf>
    <xf numFmtId="15" fontId="36" fillId="0" borderId="3" xfId="1" applyNumberFormat="1" applyFont="1" applyFill="1" applyBorder="1" applyAlignment="1">
      <alignment horizontal="center" vertical="center" wrapText="1"/>
    </xf>
    <xf numFmtId="15" fontId="36" fillId="0" borderId="12" xfId="1" applyNumberFormat="1" applyFont="1" applyFill="1" applyBorder="1" applyAlignment="1">
      <alignment horizontal="center" vertical="center" wrapText="1"/>
    </xf>
    <xf numFmtId="15" fontId="1" fillId="4" borderId="3" xfId="1" applyNumberFormat="1" applyBorder="1" applyAlignment="1">
      <alignment horizontal="center" vertical="center" wrapText="1"/>
    </xf>
    <xf numFmtId="0" fontId="0" fillId="6" borderId="1" xfId="0" applyFill="1" applyBorder="1" applyAlignment="1">
      <alignment horizontal="center" vertical="center"/>
    </xf>
    <xf numFmtId="0" fontId="0" fillId="3" borderId="1" xfId="0" applyFill="1" applyBorder="1" applyAlignment="1">
      <alignment horizontal="center" vertical="center"/>
    </xf>
    <xf numFmtId="16" fontId="0" fillId="3" borderId="1" xfId="0" applyNumberFormat="1" applyFill="1" applyBorder="1" applyAlignment="1">
      <alignment horizontal="center" vertical="center"/>
    </xf>
    <xf numFmtId="0" fontId="0" fillId="17" borderId="1" xfId="0" applyFill="1" applyBorder="1" applyAlignment="1">
      <alignment horizontal="center" vertical="center" wrapText="1"/>
    </xf>
    <xf numFmtId="0" fontId="0" fillId="2" borderId="1" xfId="0" applyFill="1" applyBorder="1" applyAlignment="1">
      <alignment horizontal="center" vertical="center"/>
    </xf>
    <xf numFmtId="0" fontId="35" fillId="0" borderId="12" xfId="0" applyFont="1" applyBorder="1" applyAlignment="1">
      <alignment horizontal="center" vertical="center" wrapText="1"/>
    </xf>
    <xf numFmtId="0" fontId="41" fillId="4" borderId="1" xfId="1" applyFont="1" applyBorder="1" applyAlignment="1">
      <alignment vertical="center" wrapText="1"/>
    </xf>
    <xf numFmtId="0" fontId="35" fillId="14" borderId="1" xfId="0" applyFont="1" applyFill="1" applyBorder="1" applyAlignment="1">
      <alignment horizontal="center" vertical="center" wrapText="1"/>
    </xf>
    <xf numFmtId="0" fontId="35" fillId="0" borderId="3" xfId="0" applyFont="1" applyBorder="1" applyAlignment="1">
      <alignment horizontal="center" vertical="center" wrapText="1"/>
    </xf>
    <xf numFmtId="15" fontId="36" fillId="31" borderId="1" xfId="1" applyNumberFormat="1" applyFont="1" applyFill="1" applyBorder="1" applyAlignment="1">
      <alignment horizontal="center" vertical="center" wrapText="1"/>
    </xf>
    <xf numFmtId="0" fontId="35" fillId="14" borderId="5" xfId="0" applyFont="1" applyFill="1" applyBorder="1" applyAlignment="1">
      <alignment horizontal="center" vertical="center" wrapText="1"/>
    </xf>
    <xf numFmtId="15" fontId="41" fillId="4" borderId="12" xfId="1" applyNumberFormat="1" applyFont="1" applyBorder="1" applyAlignment="1">
      <alignment horizontal="center" vertical="center" wrapText="1"/>
    </xf>
    <xf numFmtId="0" fontId="1" fillId="4" borderId="12" xfId="1" applyBorder="1" applyAlignment="1">
      <alignment vertical="center" wrapText="1"/>
    </xf>
    <xf numFmtId="0" fontId="35" fillId="0" borderId="12" xfId="0" applyFont="1" applyBorder="1" applyAlignment="1">
      <alignment horizontal="center" vertical="center"/>
    </xf>
    <xf numFmtId="0" fontId="35" fillId="0" borderId="9" xfId="0" applyFont="1" applyBorder="1" applyAlignment="1">
      <alignment horizontal="center" vertical="center" wrapText="1"/>
    </xf>
    <xf numFmtId="0" fontId="42" fillId="0" borderId="12" xfId="0" applyFont="1" applyBorder="1" applyAlignment="1">
      <alignment vertical="center" wrapText="1"/>
    </xf>
    <xf numFmtId="0" fontId="42" fillId="0" borderId="12" xfId="0" applyFont="1" applyBorder="1" applyAlignment="1">
      <alignment horizontal="center" vertical="center" wrapText="1"/>
    </xf>
    <xf numFmtId="0" fontId="43" fillId="0" borderId="12"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12" xfId="0" applyFont="1" applyBorder="1" applyAlignment="1">
      <alignment vertical="center" wrapText="1"/>
    </xf>
    <xf numFmtId="0" fontId="35" fillId="0" borderId="5" xfId="0" applyFont="1" applyBorder="1" applyAlignment="1">
      <alignment horizontal="center" vertical="center" wrapText="1"/>
    </xf>
    <xf numFmtId="0" fontId="35" fillId="0" borderId="12" xfId="0" applyFont="1" applyBorder="1" applyAlignment="1">
      <alignment horizontal="left" vertical="center" wrapText="1"/>
    </xf>
    <xf numFmtId="0" fontId="35" fillId="0" borderId="9" xfId="0" applyFont="1" applyBorder="1" applyAlignment="1">
      <alignment vertical="center" wrapText="1"/>
    </xf>
    <xf numFmtId="0" fontId="0" fillId="4" borderId="12" xfId="1" applyFont="1" applyBorder="1" applyAlignment="1">
      <alignment vertical="center" wrapText="1"/>
    </xf>
    <xf numFmtId="15" fontId="0" fillId="4" borderId="12" xfId="1" applyNumberFormat="1" applyFont="1" applyBorder="1" applyAlignment="1">
      <alignment horizontal="center" vertical="center" wrapText="1"/>
    </xf>
    <xf numFmtId="15" fontId="0" fillId="32" borderId="39" xfId="5" applyNumberFormat="1" applyFont="1" applyAlignment="1">
      <alignment horizontal="center" vertical="center" wrapText="1"/>
    </xf>
    <xf numFmtId="0" fontId="36" fillId="0" borderId="12" xfId="0" applyFont="1" applyBorder="1" applyAlignment="1">
      <alignment horizontal="center" vertical="center" wrapText="1"/>
    </xf>
    <xf numFmtId="15" fontId="36" fillId="0" borderId="3" xfId="1" applyNumberFormat="1" applyFont="1" applyFill="1" applyBorder="1" applyAlignment="1">
      <alignment horizontal="left" vertical="center" wrapText="1"/>
    </xf>
    <xf numFmtId="0" fontId="36" fillId="0" borderId="3" xfId="0" applyFont="1" applyBorder="1" applyAlignment="1">
      <alignment vertical="center" wrapText="1"/>
    </xf>
    <xf numFmtId="0" fontId="41" fillId="0" borderId="5" xfId="1" applyFont="1" applyFill="1" applyBorder="1" applyAlignment="1">
      <alignment horizontal="left" vertical="top" wrapText="1"/>
    </xf>
    <xf numFmtId="15" fontId="0" fillId="0" borderId="39" xfId="5" applyNumberFormat="1" applyFont="1" applyFill="1" applyAlignment="1">
      <alignment horizontal="center" vertical="center" wrapText="1"/>
    </xf>
    <xf numFmtId="15" fontId="0" fillId="0" borderId="3" xfId="2" applyNumberFormat="1" applyFont="1" applyFill="1" applyBorder="1" applyAlignment="1">
      <alignment horizontal="center" vertical="center" wrapText="1"/>
    </xf>
    <xf numFmtId="15" fontId="36" fillId="0" borderId="1" xfId="1" applyNumberFormat="1" applyFont="1" applyFill="1" applyBorder="1" applyAlignment="1">
      <alignment horizontal="center" vertical="center" wrapText="1"/>
    </xf>
    <xf numFmtId="15" fontId="0" fillId="0" borderId="40" xfId="5" applyNumberFormat="1" applyFont="1" applyFill="1" applyBorder="1" applyAlignment="1">
      <alignment horizontal="center" vertical="center" wrapText="1"/>
    </xf>
    <xf numFmtId="15" fontId="0" fillId="0" borderId="1" xfId="1" applyNumberFormat="1" applyFont="1" applyFill="1" applyBorder="1" applyAlignment="1">
      <alignment horizontal="center" vertical="center" wrapText="1"/>
    </xf>
    <xf numFmtId="0" fontId="38" fillId="33" borderId="18" xfId="0" applyFont="1" applyFill="1" applyBorder="1" applyAlignment="1">
      <alignment horizontal="center" vertical="center" wrapText="1"/>
    </xf>
    <xf numFmtId="0" fontId="38" fillId="33" borderId="12" xfId="0" applyFont="1" applyFill="1" applyBorder="1" applyAlignment="1">
      <alignment horizontal="center" vertical="center" wrapText="1"/>
    </xf>
    <xf numFmtId="15" fontId="1" fillId="4" borderId="1" xfId="1" applyNumberFormat="1" applyBorder="1" applyAlignment="1">
      <alignment horizontal="center" vertical="center" wrapText="1"/>
    </xf>
    <xf numFmtId="15" fontId="0" fillId="0" borderId="18" xfId="1" applyNumberFormat="1" applyFont="1" applyFill="1" applyBorder="1" applyAlignment="1">
      <alignment vertical="top" wrapText="1"/>
    </xf>
    <xf numFmtId="15" fontId="0" fillId="0" borderId="3" xfId="1" quotePrefix="1" applyNumberFormat="1" applyFont="1" applyFill="1" applyBorder="1" applyAlignment="1">
      <alignment vertical="top" wrapText="1"/>
    </xf>
    <xf numFmtId="15" fontId="0" fillId="0" borderId="3" xfId="1" applyNumberFormat="1" applyFont="1" applyFill="1" applyBorder="1" applyAlignment="1">
      <alignment vertical="top" wrapText="1"/>
    </xf>
    <xf numFmtId="0" fontId="40" fillId="25" borderId="1" xfId="0" applyFont="1" applyFill="1" applyBorder="1" applyAlignment="1">
      <alignment horizontal="center" vertical="center" wrapText="1"/>
    </xf>
    <xf numFmtId="0" fontId="38" fillId="23" borderId="1" xfId="0" applyFont="1" applyFill="1" applyBorder="1" applyAlignment="1">
      <alignment horizontal="center" wrapText="1"/>
    </xf>
    <xf numFmtId="0" fontId="38" fillId="20" borderId="1" xfId="0" applyFont="1" applyFill="1" applyBorder="1" applyAlignment="1">
      <alignment horizontal="center" vertical="center" wrapText="1"/>
    </xf>
    <xf numFmtId="0" fontId="38" fillId="20" borderId="1" xfId="0" applyFont="1" applyFill="1" applyBorder="1" applyAlignment="1">
      <alignment horizontal="center" wrapText="1"/>
    </xf>
    <xf numFmtId="0" fontId="36" fillId="4" borderId="1" xfId="1" applyFont="1" applyBorder="1" applyAlignment="1">
      <alignment vertical="center" wrapText="1"/>
    </xf>
    <xf numFmtId="15" fontId="36" fillId="4" borderId="1" xfId="1" applyNumberFormat="1" applyFont="1" applyBorder="1" applyAlignment="1">
      <alignment horizontal="center" vertical="center" wrapText="1"/>
    </xf>
    <xf numFmtId="15" fontId="16" fillId="30" borderId="1" xfId="4" applyNumberFormat="1" applyFont="1" applyBorder="1" applyAlignment="1">
      <alignment horizontal="center" vertical="center" wrapText="1"/>
    </xf>
    <xf numFmtId="15" fontId="41" fillId="4" borderId="1" xfId="1" applyNumberFormat="1" applyFont="1" applyBorder="1" applyAlignment="1">
      <alignment horizontal="center" vertical="center" wrapText="1"/>
    </xf>
    <xf numFmtId="15" fontId="0" fillId="4" borderId="1" xfId="1" applyNumberFormat="1" applyFont="1" applyBorder="1" applyAlignment="1">
      <alignment horizontal="center" vertical="center" wrapText="1"/>
    </xf>
    <xf numFmtId="0" fontId="36" fillId="31" borderId="1" xfId="0" applyFont="1" applyFill="1" applyBorder="1" applyAlignment="1">
      <alignment vertical="center" wrapText="1"/>
    </xf>
    <xf numFmtId="0" fontId="35" fillId="31" borderId="1" xfId="0" applyFont="1" applyFill="1" applyBorder="1" applyAlignment="1">
      <alignment vertical="center" wrapText="1"/>
    </xf>
    <xf numFmtId="15" fontId="41" fillId="31" borderId="1" xfId="1" applyNumberFormat="1" applyFont="1" applyFill="1" applyBorder="1" applyAlignment="1">
      <alignment horizontal="center" vertical="center" wrapText="1"/>
    </xf>
    <xf numFmtId="0" fontId="41" fillId="4" borderId="1" xfId="1" applyFont="1" applyBorder="1" applyAlignment="1">
      <alignment horizontal="center" vertical="center" wrapText="1"/>
    </xf>
    <xf numFmtId="15" fontId="36" fillId="0" borderId="1" xfId="4" applyNumberFormat="1" applyFont="1" applyFill="1" applyBorder="1" applyAlignment="1">
      <alignment horizontal="center" vertical="center" wrapText="1"/>
    </xf>
    <xf numFmtId="0" fontId="36" fillId="4" borderId="1" xfId="1" applyFont="1" applyBorder="1" applyAlignment="1">
      <alignment horizontal="left" vertical="center" wrapText="1"/>
    </xf>
    <xf numFmtId="0" fontId="41" fillId="4" borderId="1" xfId="1" applyFont="1" applyBorder="1" applyAlignment="1">
      <alignment horizontal="left" vertical="center" wrapText="1"/>
    </xf>
    <xf numFmtId="15" fontId="0" fillId="0" borderId="1" xfId="5" applyNumberFormat="1" applyFont="1" applyFill="1" applyBorder="1" applyAlignment="1">
      <alignment horizontal="center" vertical="center" wrapText="1"/>
    </xf>
    <xf numFmtId="0" fontId="0" fillId="4" borderId="1" xfId="1" applyFont="1" applyBorder="1" applyAlignment="1">
      <alignment vertical="center" wrapText="1"/>
    </xf>
    <xf numFmtId="0" fontId="1" fillId="4" borderId="1" xfId="1" applyBorder="1" applyAlignment="1">
      <alignment vertical="center" wrapText="1"/>
    </xf>
    <xf numFmtId="15" fontId="36" fillId="31" borderId="1" xfId="0" applyNumberFormat="1" applyFont="1" applyFill="1" applyBorder="1" applyAlignment="1">
      <alignment horizontal="center" vertical="center" wrapText="1"/>
    </xf>
    <xf numFmtId="15" fontId="0" fillId="31" borderId="1" xfId="5" applyNumberFormat="1" applyFont="1" applyFill="1" applyBorder="1" applyAlignment="1">
      <alignment horizontal="center" vertical="center" wrapText="1"/>
    </xf>
    <xf numFmtId="0" fontId="35" fillId="0" borderId="1" xfId="0" applyFont="1" applyBorder="1" applyAlignment="1">
      <alignment horizontal="center" vertical="center"/>
    </xf>
    <xf numFmtId="15" fontId="0" fillId="0" borderId="1" xfId="4" applyNumberFormat="1" applyFont="1" applyFill="1" applyBorder="1" applyAlignment="1">
      <alignment horizontal="center" vertical="center" wrapText="1"/>
    </xf>
    <xf numFmtId="15" fontId="0" fillId="31" borderId="1" xfId="1" applyNumberFormat="1" applyFont="1" applyFill="1" applyBorder="1" applyAlignment="1">
      <alignment horizontal="center" vertical="center" wrapText="1"/>
    </xf>
    <xf numFmtId="15" fontId="36" fillId="0" borderId="1" xfId="0" applyNumberFormat="1" applyFont="1" applyBorder="1" applyAlignment="1">
      <alignment horizontal="center" vertical="center" wrapText="1"/>
    </xf>
    <xf numFmtId="15" fontId="0" fillId="0" borderId="12" xfId="2" applyNumberFormat="1" applyFont="1" applyFill="1" applyBorder="1" applyAlignment="1">
      <alignment horizontal="center" vertical="center" wrapText="1"/>
    </xf>
    <xf numFmtId="15" fontId="1" fillId="31" borderId="1" xfId="1" applyNumberFormat="1" applyFill="1" applyBorder="1" applyAlignment="1">
      <alignment horizontal="center" vertical="center" wrapText="1"/>
    </xf>
    <xf numFmtId="15" fontId="0" fillId="0" borderId="3" xfId="2" applyNumberFormat="1" applyFont="1" applyFill="1" applyBorder="1" applyAlignment="1">
      <alignment horizontal="left" vertical="center" wrapText="1"/>
    </xf>
    <xf numFmtId="15" fontId="0" fillId="0" borderId="41" xfId="5" applyNumberFormat="1" applyFont="1" applyFill="1" applyBorder="1" applyAlignment="1">
      <alignment vertical="top" wrapText="1"/>
    </xf>
    <xf numFmtId="15" fontId="0" fillId="0" borderId="2" xfId="5" applyNumberFormat="1" applyFont="1" applyFill="1" applyBorder="1" applyAlignment="1">
      <alignment horizontal="center" vertical="center" wrapText="1"/>
    </xf>
    <xf numFmtId="15" fontId="0" fillId="0" borderId="1" xfId="5" applyNumberFormat="1" applyFont="1" applyFill="1" applyBorder="1" applyAlignment="1">
      <alignment vertical="top" wrapText="1"/>
    </xf>
    <xf numFmtId="0" fontId="0" fillId="0" borderId="2" xfId="0" applyBorder="1" applyAlignment="1">
      <alignment horizontal="left" vertical="center" wrapText="1"/>
    </xf>
    <xf numFmtId="0" fontId="0" fillId="0" borderId="4" xfId="0" applyBorder="1" applyAlignment="1">
      <alignment horizontal="left" vertical="center"/>
    </xf>
    <xf numFmtId="0" fontId="0" fillId="0" borderId="2" xfId="0" applyBorder="1" applyAlignment="1">
      <alignment horizontal="left" vertical="center"/>
    </xf>
    <xf numFmtId="0" fontId="0" fillId="0" borderId="15" xfId="0" applyBorder="1" applyAlignment="1">
      <alignment horizontal="left" vertical="center"/>
    </xf>
    <xf numFmtId="0" fontId="0" fillId="0" borderId="2" xfId="0" applyBorder="1" applyAlignment="1">
      <alignment vertical="center"/>
    </xf>
    <xf numFmtId="15" fontId="34" fillId="30" borderId="1" xfId="4" applyNumberFormat="1" applyBorder="1" applyAlignment="1">
      <alignment horizontal="center" vertical="center" wrapText="1"/>
    </xf>
    <xf numFmtId="0" fontId="36" fillId="0" borderId="3" xfId="1" applyFont="1" applyFill="1" applyBorder="1" applyAlignment="1">
      <alignment horizontal="left" vertical="top" wrapText="1"/>
    </xf>
    <xf numFmtId="0" fontId="45" fillId="0" borderId="0" xfId="0" applyFont="1" applyAlignment="1">
      <alignment wrapText="1"/>
    </xf>
    <xf numFmtId="0" fontId="48" fillId="0" borderId="3" xfId="0" applyFont="1" applyBorder="1" applyAlignment="1">
      <alignment horizontal="left" wrapText="1"/>
    </xf>
    <xf numFmtId="0" fontId="49" fillId="0" borderId="0" xfId="0" applyFont="1"/>
    <xf numFmtId="0" fontId="47" fillId="23" borderId="18" xfId="0" applyFont="1" applyFill="1" applyBorder="1" applyAlignment="1">
      <alignment horizontal="center" wrapText="1"/>
    </xf>
    <xf numFmtId="0" fontId="47" fillId="20" borderId="18" xfId="0" applyFont="1" applyFill="1" applyBorder="1" applyAlignment="1">
      <alignment horizontal="center" wrapText="1"/>
    </xf>
    <xf numFmtId="0" fontId="45" fillId="0" borderId="12" xfId="0" applyFont="1" applyBorder="1" applyAlignment="1">
      <alignment horizontal="center" vertical="top" wrapText="1"/>
    </xf>
    <xf numFmtId="0" fontId="49" fillId="0" borderId="0" xfId="0" applyFont="1" applyAlignment="1">
      <alignment vertical="top"/>
    </xf>
    <xf numFmtId="0" fontId="45" fillId="0" borderId="3" xfId="0" applyFont="1" applyBorder="1" applyAlignment="1">
      <alignment horizontal="center" vertical="top" wrapText="1"/>
    </xf>
    <xf numFmtId="15" fontId="49" fillId="31" borderId="18" xfId="1" applyNumberFormat="1" applyFont="1" applyFill="1" applyBorder="1" applyAlignment="1">
      <alignment horizontal="center" vertical="center" wrapText="1"/>
    </xf>
    <xf numFmtId="15" fontId="49" fillId="31" borderId="29" xfId="1" applyNumberFormat="1" applyFont="1" applyFill="1" applyBorder="1" applyAlignment="1">
      <alignment horizontal="center" vertical="center" wrapText="1"/>
    </xf>
    <xf numFmtId="15" fontId="49" fillId="0" borderId="29" xfId="1" applyNumberFormat="1" applyFont="1" applyFill="1" applyBorder="1" applyAlignment="1">
      <alignment horizontal="center" vertical="center" wrapText="1"/>
    </xf>
    <xf numFmtId="15" fontId="49" fillId="0" borderId="18" xfId="1" applyNumberFormat="1" applyFont="1" applyFill="1" applyBorder="1" applyAlignment="1">
      <alignment horizontal="center" vertical="center" wrapText="1"/>
    </xf>
    <xf numFmtId="15" fontId="49" fillId="0" borderId="6" xfId="1" applyNumberFormat="1" applyFont="1" applyFill="1" applyBorder="1" applyAlignment="1">
      <alignment horizontal="center" vertical="center" wrapText="1"/>
    </xf>
    <xf numFmtId="15" fontId="49" fillId="31" borderId="6" xfId="4" applyNumberFormat="1" applyFont="1" applyFill="1" applyBorder="1" applyAlignment="1">
      <alignment horizontal="center" vertical="center" wrapText="1"/>
    </xf>
    <xf numFmtId="15" fontId="49" fillId="31" borderId="6" xfId="1" applyNumberFormat="1" applyFont="1" applyFill="1" applyBorder="1" applyAlignment="1">
      <alignment horizontal="center" vertical="center" wrapText="1"/>
    </xf>
    <xf numFmtId="15" fontId="49" fillId="0" borderId="6" xfId="4" applyNumberFormat="1" applyFont="1" applyFill="1" applyBorder="1" applyAlignment="1">
      <alignment horizontal="center" vertical="center" wrapText="1"/>
    </xf>
    <xf numFmtId="15" fontId="49" fillId="0" borderId="6" xfId="0" applyNumberFormat="1" applyFont="1" applyBorder="1" applyAlignment="1">
      <alignment horizontal="center" vertical="center" wrapText="1"/>
    </xf>
    <xf numFmtId="0" fontId="49" fillId="0" borderId="0" xfId="0" applyFont="1" applyAlignment="1">
      <alignment horizontal="left" vertical="top"/>
    </xf>
    <xf numFmtId="15" fontId="49" fillId="31" borderId="6" xfId="0" applyNumberFormat="1" applyFont="1" applyFill="1" applyBorder="1" applyAlignment="1">
      <alignment horizontal="center" vertical="center" wrapText="1"/>
    </xf>
    <xf numFmtId="0" fontId="45" fillId="0" borderId="12" xfId="0" applyFont="1" applyBorder="1" applyAlignment="1">
      <alignment horizontal="center" vertical="top"/>
    </xf>
    <xf numFmtId="0" fontId="46" fillId="0" borderId="12" xfId="0" applyFont="1" applyBorder="1" applyAlignment="1">
      <alignment horizontal="center" vertical="top" wrapText="1"/>
    </xf>
    <xf numFmtId="15" fontId="49" fillId="0" borderId="12" xfId="1" applyNumberFormat="1" applyFont="1" applyFill="1" applyBorder="1" applyAlignment="1">
      <alignment horizontal="center" vertical="center" wrapText="1"/>
    </xf>
    <xf numFmtId="15" fontId="49" fillId="0" borderId="3" xfId="1" applyNumberFormat="1" applyFont="1" applyFill="1" applyBorder="1" applyAlignment="1">
      <alignment horizontal="center" vertical="center" wrapText="1"/>
    </xf>
    <xf numFmtId="0" fontId="49" fillId="0" borderId="0" xfId="0" applyFont="1" applyAlignment="1">
      <alignment horizontal="center" vertical="top"/>
    </xf>
    <xf numFmtId="0" fontId="45" fillId="0" borderId="12" xfId="0" applyFont="1" applyBorder="1" applyAlignment="1">
      <alignment wrapText="1"/>
    </xf>
    <xf numFmtId="0" fontId="45" fillId="0" borderId="12" xfId="0" applyFont="1" applyBorder="1" applyAlignment="1">
      <alignment horizontal="center" wrapText="1"/>
    </xf>
    <xf numFmtId="0" fontId="45" fillId="0" borderId="12" xfId="0" applyFont="1" applyBorder="1" applyAlignment="1">
      <alignment horizontal="center"/>
    </xf>
    <xf numFmtId="0" fontId="49" fillId="0" borderId="0" xfId="0" applyFont="1" applyAlignment="1">
      <alignment horizontal="center"/>
    </xf>
    <xf numFmtId="0" fontId="49" fillId="0" borderId="0" xfId="0" applyFont="1" applyAlignment="1">
      <alignment horizontal="left"/>
    </xf>
    <xf numFmtId="15" fontId="51" fillId="0" borderId="18" xfId="1" applyNumberFormat="1" applyFont="1" applyFill="1" applyBorder="1" applyAlignment="1">
      <alignment horizontal="center" vertical="center" wrapText="1"/>
    </xf>
    <xf numFmtId="15" fontId="51" fillId="0" borderId="6" xfId="1" applyNumberFormat="1" applyFont="1" applyFill="1" applyBorder="1" applyAlignment="1">
      <alignment horizontal="center" vertical="center" wrapText="1"/>
    </xf>
    <xf numFmtId="15" fontId="54" fillId="0" borderId="6" xfId="5" applyNumberFormat="1" applyFont="1" applyFill="1" applyBorder="1" applyAlignment="1">
      <alignment horizontal="center" vertical="center" wrapText="1"/>
    </xf>
    <xf numFmtId="15" fontId="54" fillId="31" borderId="6" xfId="5" applyNumberFormat="1" applyFont="1" applyFill="1" applyBorder="1" applyAlignment="1">
      <alignment horizontal="center" vertical="center" wrapText="1"/>
    </xf>
    <xf numFmtId="15" fontId="54" fillId="3" borderId="6" xfId="5" applyNumberFormat="1" applyFont="1" applyFill="1" applyBorder="1" applyAlignment="1">
      <alignment horizontal="center" vertical="center" wrapText="1"/>
    </xf>
    <xf numFmtId="15" fontId="49" fillId="0" borderId="6" xfId="2" applyNumberFormat="1" applyFont="1" applyFill="1" applyBorder="1" applyAlignment="1">
      <alignment horizontal="center" vertical="center" wrapText="1"/>
    </xf>
    <xf numFmtId="15" fontId="54" fillId="32" borderId="6" xfId="5" applyNumberFormat="1" applyFont="1" applyBorder="1" applyAlignment="1">
      <alignment horizontal="center" vertical="center" wrapText="1"/>
    </xf>
    <xf numFmtId="15" fontId="54" fillId="32" borderId="40" xfId="5" applyNumberFormat="1" applyFont="1" applyBorder="1" applyAlignment="1">
      <alignment horizontal="center" vertical="center" wrapText="1"/>
    </xf>
    <xf numFmtId="15" fontId="54" fillId="32" borderId="39" xfId="5" applyNumberFormat="1" applyFont="1" applyAlignment="1">
      <alignment horizontal="center" vertical="center" wrapText="1"/>
    </xf>
    <xf numFmtId="15" fontId="55" fillId="5" borderId="3" xfId="2" applyNumberFormat="1" applyFont="1" applyBorder="1" applyAlignment="1">
      <alignment horizontal="center" vertical="center" wrapText="1"/>
    </xf>
    <xf numFmtId="0" fontId="47" fillId="20" borderId="18" xfId="0" applyFont="1" applyFill="1" applyBorder="1" applyAlignment="1">
      <alignment horizontal="center" vertical="center" wrapText="1"/>
    </xf>
    <xf numFmtId="0" fontId="51" fillId="4" borderId="18" xfId="1" applyFont="1" applyBorder="1" applyAlignment="1">
      <alignment horizontal="center" vertical="center" wrapText="1"/>
    </xf>
    <xf numFmtId="0" fontId="45" fillId="0" borderId="12" xfId="0" applyFont="1" applyBorder="1" applyAlignment="1">
      <alignment horizontal="center" vertical="center" wrapText="1"/>
    </xf>
    <xf numFmtId="0" fontId="45" fillId="0" borderId="14" xfId="0" applyFont="1" applyBorder="1" applyAlignment="1">
      <alignment horizontal="center" vertical="center" wrapText="1"/>
    </xf>
    <xf numFmtId="0" fontId="51" fillId="4" borderId="1" xfId="1" applyFont="1" applyBorder="1" applyAlignment="1">
      <alignment horizontal="center" vertical="center" wrapText="1"/>
    </xf>
    <xf numFmtId="15" fontId="49" fillId="31" borderId="0" xfId="1" applyNumberFormat="1" applyFont="1" applyFill="1" applyBorder="1" applyAlignment="1">
      <alignment horizontal="center" vertical="center" wrapText="1"/>
    </xf>
    <xf numFmtId="0" fontId="51" fillId="4" borderId="3" xfId="1" applyFont="1" applyBorder="1" applyAlignment="1">
      <alignment horizontal="center" vertical="center" wrapText="1"/>
    </xf>
    <xf numFmtId="0" fontId="51" fillId="4" borderId="14" xfId="1" applyFont="1" applyBorder="1" applyAlignment="1">
      <alignment horizontal="center" vertical="center" wrapText="1"/>
    </xf>
    <xf numFmtId="0" fontId="51" fillId="4" borderId="5" xfId="1" applyFont="1" applyBorder="1" applyAlignment="1">
      <alignment horizontal="center" vertical="center" wrapText="1"/>
    </xf>
    <xf numFmtId="15" fontId="49" fillId="31" borderId="1" xfId="1" applyNumberFormat="1" applyFont="1" applyFill="1" applyBorder="1" applyAlignment="1">
      <alignment horizontal="center" vertical="center" wrapText="1"/>
    </xf>
    <xf numFmtId="0" fontId="51" fillId="4" borderId="12" xfId="1" applyFont="1" applyBorder="1" applyAlignment="1">
      <alignment horizontal="center" vertical="center" wrapText="1"/>
    </xf>
    <xf numFmtId="15" fontId="51" fillId="4" borderId="12" xfId="1" applyNumberFormat="1" applyFont="1" applyBorder="1" applyAlignment="1">
      <alignment horizontal="center" vertical="center" wrapText="1"/>
    </xf>
    <xf numFmtId="15" fontId="51" fillId="31" borderId="3" xfId="1" applyNumberFormat="1" applyFont="1" applyFill="1" applyBorder="1" applyAlignment="1">
      <alignment horizontal="center" vertical="center" wrapText="1"/>
    </xf>
    <xf numFmtId="0" fontId="51" fillId="4" borderId="2" xfId="1" applyFont="1" applyBorder="1" applyAlignment="1">
      <alignment horizontal="center" vertical="center" wrapText="1"/>
    </xf>
    <xf numFmtId="0" fontId="51" fillId="4" borderId="6" xfId="1" applyFont="1" applyBorder="1" applyAlignment="1">
      <alignment horizontal="center" vertical="center" wrapText="1"/>
    </xf>
    <xf numFmtId="0" fontId="45" fillId="0" borderId="6"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12" xfId="0" applyFont="1" applyBorder="1" applyAlignment="1">
      <alignment horizontal="center" vertical="center"/>
    </xf>
    <xf numFmtId="0" fontId="45" fillId="0" borderId="14" xfId="0" applyFont="1" applyBorder="1" applyAlignment="1">
      <alignment horizontal="center" vertical="center"/>
    </xf>
    <xf numFmtId="0" fontId="16" fillId="34" borderId="1" xfId="0" applyFont="1" applyFill="1" applyBorder="1" applyAlignment="1">
      <alignment horizontal="center" vertical="center"/>
    </xf>
    <xf numFmtId="15" fontId="1" fillId="4" borderId="6" xfId="1" applyNumberFormat="1" applyBorder="1" applyAlignment="1">
      <alignment horizontal="center" vertical="center" wrapText="1"/>
    </xf>
    <xf numFmtId="15" fontId="49" fillId="31" borderId="5" xfId="1" applyNumberFormat="1" applyFont="1" applyFill="1" applyBorder="1" applyAlignment="1">
      <alignment horizontal="center" vertical="center" wrapText="1"/>
    </xf>
    <xf numFmtId="15" fontId="49" fillId="31" borderId="10" xfId="1" applyNumberFormat="1" applyFont="1" applyFill="1" applyBorder="1" applyAlignment="1">
      <alignment horizontal="center" vertical="center" wrapText="1"/>
    </xf>
    <xf numFmtId="15" fontId="51" fillId="4" borderId="1" xfId="1" applyNumberFormat="1" applyFont="1" applyBorder="1" applyAlignment="1">
      <alignment horizontal="center" vertical="center" wrapText="1"/>
    </xf>
    <xf numFmtId="15" fontId="45" fillId="0" borderId="12" xfId="0" applyNumberFormat="1" applyFont="1" applyBorder="1" applyAlignment="1">
      <alignment horizontal="center" wrapText="1"/>
    </xf>
    <xf numFmtId="0" fontId="1" fillId="4" borderId="12" xfId="1" applyBorder="1" applyAlignment="1">
      <alignment wrapText="1"/>
    </xf>
    <xf numFmtId="0" fontId="47" fillId="20" borderId="0" xfId="0" applyFont="1" applyFill="1" applyAlignment="1">
      <alignment horizontal="center" vertical="center" wrapText="1"/>
    </xf>
    <xf numFmtId="0" fontId="51" fillId="0" borderId="2" xfId="1" applyFont="1" applyFill="1" applyBorder="1" applyAlignment="1">
      <alignment horizontal="left" vertical="top" wrapText="1"/>
    </xf>
    <xf numFmtId="15" fontId="51" fillId="0" borderId="27" xfId="1" applyNumberFormat="1" applyFont="1" applyFill="1" applyBorder="1" applyAlignment="1">
      <alignment horizontal="left" vertical="top" wrapText="1"/>
    </xf>
    <xf numFmtId="0" fontId="45" fillId="0" borderId="27" xfId="0" applyFont="1" applyBorder="1" applyAlignment="1">
      <alignment vertical="top" wrapText="1"/>
    </xf>
    <xf numFmtId="15" fontId="52" fillId="0" borderId="27" xfId="1" applyNumberFormat="1" applyFont="1" applyFill="1" applyBorder="1" applyAlignment="1">
      <alignment horizontal="left" vertical="top" wrapText="1"/>
    </xf>
    <xf numFmtId="15" fontId="51" fillId="0" borderId="27" xfId="1" applyNumberFormat="1" applyFont="1" applyFill="1" applyBorder="1" applyAlignment="1">
      <alignment horizontal="center" vertical="top" wrapText="1"/>
    </xf>
    <xf numFmtId="0" fontId="45" fillId="0" borderId="14" xfId="0" applyFont="1" applyBorder="1" applyAlignment="1">
      <alignment horizontal="left" vertical="top" wrapText="1"/>
    </xf>
    <xf numFmtId="0" fontId="45" fillId="0" borderId="14" xfId="0" applyFont="1" applyBorder="1" applyAlignment="1">
      <alignment horizontal="left" wrapText="1"/>
    </xf>
    <xf numFmtId="0" fontId="56" fillId="26" borderId="1" xfId="0" applyFont="1" applyFill="1" applyBorder="1" applyAlignment="1">
      <alignment horizontal="center" vertical="center" wrapText="1"/>
    </xf>
    <xf numFmtId="0" fontId="49" fillId="0" borderId="1" xfId="0" applyFont="1" applyBorder="1" applyAlignment="1">
      <alignment vertical="top"/>
    </xf>
    <xf numFmtId="0" fontId="49" fillId="0" borderId="1" xfId="0" applyFont="1" applyBorder="1" applyAlignment="1">
      <alignment horizontal="center" vertical="top"/>
    </xf>
    <xf numFmtId="0" fontId="49" fillId="0" borderId="1" xfId="0" applyFont="1" applyBorder="1"/>
    <xf numFmtId="0" fontId="49" fillId="0" borderId="1" xfId="0" applyFont="1" applyBorder="1" applyAlignment="1">
      <alignment vertical="top" wrapText="1"/>
    </xf>
    <xf numFmtId="15" fontId="45" fillId="0" borderId="12" xfId="0" applyNumberFormat="1" applyFont="1" applyBorder="1" applyAlignment="1">
      <alignment horizontal="center" vertical="center" wrapText="1"/>
    </xf>
    <xf numFmtId="0" fontId="51" fillId="0" borderId="30" xfId="1" applyFont="1" applyFill="1" applyBorder="1" applyAlignment="1">
      <alignment horizontal="left" vertical="top" wrapText="1"/>
    </xf>
    <xf numFmtId="0" fontId="20" fillId="0" borderId="0" xfId="0" applyFont="1" applyAlignment="1">
      <alignment wrapText="1"/>
    </xf>
    <xf numFmtId="0" fontId="18" fillId="29" borderId="12" xfId="0" applyFont="1" applyFill="1" applyBorder="1" applyAlignment="1">
      <alignment horizontal="center" wrapText="1"/>
    </xf>
    <xf numFmtId="15" fontId="5" fillId="22" borderId="3" xfId="0" applyNumberFormat="1" applyFont="1" applyFill="1" applyBorder="1" applyAlignment="1">
      <alignment horizontal="center" vertical="top" wrapText="1"/>
    </xf>
    <xf numFmtId="15" fontId="5" fillId="24" borderId="29" xfId="0" applyNumberFormat="1" applyFont="1" applyFill="1" applyBorder="1" applyAlignment="1">
      <alignment horizontal="center" vertical="top" wrapText="1"/>
    </xf>
    <xf numFmtId="0" fontId="5" fillId="24" borderId="3" xfId="0" applyFont="1" applyFill="1" applyBorder="1" applyAlignment="1">
      <alignment horizontal="center" vertical="top" wrapText="1"/>
    </xf>
    <xf numFmtId="16" fontId="5" fillId="0" borderId="12" xfId="0" applyNumberFormat="1" applyFont="1" applyBorder="1" applyAlignment="1">
      <alignment horizontal="center" vertical="top"/>
    </xf>
    <xf numFmtId="0" fontId="5" fillId="0" borderId="12" xfId="0" applyFont="1" applyBorder="1" applyAlignment="1">
      <alignment horizontal="center" vertical="top"/>
    </xf>
    <xf numFmtId="0" fontId="5" fillId="0" borderId="4" xfId="0" applyFont="1" applyBorder="1" applyAlignment="1">
      <alignment wrapText="1"/>
    </xf>
    <xf numFmtId="0" fontId="5" fillId="0" borderId="18" xfId="0" applyFont="1" applyBorder="1" applyAlignment="1">
      <alignment wrapText="1"/>
    </xf>
    <xf numFmtId="0" fontId="5" fillId="0" borderId="18" xfId="0" applyFont="1" applyBorder="1" applyAlignment="1">
      <alignment horizontal="center" wrapText="1"/>
    </xf>
    <xf numFmtId="16" fontId="5" fillId="0" borderId="18" xfId="0" applyNumberFormat="1" applyFont="1" applyBorder="1" applyAlignment="1">
      <alignment horizontal="center" wrapText="1"/>
    </xf>
    <xf numFmtId="0" fontId="5" fillId="26" borderId="18" xfId="0" applyFont="1" applyFill="1" applyBorder="1" applyAlignment="1">
      <alignment horizontal="center" wrapText="1"/>
    </xf>
    <xf numFmtId="0" fontId="5" fillId="0" borderId="5" xfId="0" applyFont="1" applyBorder="1" applyAlignment="1">
      <alignment horizontal="center" wrapText="1"/>
    </xf>
    <xf numFmtId="16" fontId="5" fillId="0" borderId="12" xfId="0" applyNumberFormat="1" applyFont="1" applyBorder="1" applyAlignment="1">
      <alignment horizontal="center"/>
    </xf>
    <xf numFmtId="0" fontId="10" fillId="0" borderId="0" xfId="0" applyFont="1"/>
    <xf numFmtId="0" fontId="10" fillId="19" borderId="0" xfId="0" applyFont="1" applyFill="1" applyAlignment="1">
      <alignment horizontal="center"/>
    </xf>
    <xf numFmtId="0" fontId="10" fillId="19" borderId="0" xfId="0" applyFont="1" applyFill="1"/>
    <xf numFmtId="49" fontId="10" fillId="19" borderId="0" xfId="0" applyNumberFormat="1" applyFont="1" applyFill="1"/>
    <xf numFmtId="15" fontId="8" fillId="0" borderId="0" xfId="0" applyNumberFormat="1" applyFont="1" applyAlignment="1">
      <alignment horizontal="center"/>
    </xf>
    <xf numFmtId="49" fontId="8" fillId="0" borderId="0" xfId="0" applyNumberFormat="1" applyFont="1"/>
    <xf numFmtId="0" fontId="4" fillId="0" borderId="4" xfId="0" applyFont="1" applyBorder="1" applyAlignment="1">
      <alignment horizontal="left" vertical="center"/>
    </xf>
    <xf numFmtId="0" fontId="4" fillId="9" borderId="6" xfId="0" applyFont="1" applyFill="1" applyBorder="1" applyAlignment="1">
      <alignment horizontal="left" vertical="center"/>
    </xf>
    <xf numFmtId="0" fontId="7" fillId="10" borderId="2" xfId="0" applyFont="1" applyFill="1" applyBorder="1" applyAlignment="1">
      <alignment horizontal="center" vertical="center" wrapText="1"/>
    </xf>
    <xf numFmtId="0" fontId="57" fillId="0" borderId="0" xfId="0" applyFont="1"/>
    <xf numFmtId="0" fontId="57" fillId="0" borderId="0" xfId="0" applyFont="1" applyAlignment="1">
      <alignment horizontal="left" vertical="center" indent="1"/>
    </xf>
    <xf numFmtId="0" fontId="49" fillId="0" borderId="1" xfId="0" applyFont="1" applyBorder="1" applyAlignment="1">
      <alignment vertical="center"/>
    </xf>
    <xf numFmtId="0" fontId="49" fillId="0" borderId="1" xfId="0" applyFont="1" applyBorder="1" applyAlignment="1">
      <alignment horizontal="center" vertical="center"/>
    </xf>
    <xf numFmtId="0" fontId="49" fillId="0" borderId="1" xfId="0" applyFont="1" applyBorder="1" applyAlignment="1">
      <alignment vertical="center" wrapText="1"/>
    </xf>
    <xf numFmtId="15" fontId="1" fillId="4" borderId="18" xfId="1" applyNumberFormat="1" applyBorder="1" applyAlignment="1">
      <alignment horizontal="center" vertical="center" wrapText="1"/>
    </xf>
    <xf numFmtId="0" fontId="0" fillId="18" borderId="1" xfId="0" applyFill="1" applyBorder="1"/>
    <xf numFmtId="15" fontId="51" fillId="3" borderId="6" xfId="1" applyNumberFormat="1" applyFont="1" applyFill="1" applyBorder="1" applyAlignment="1">
      <alignment horizontal="center" vertical="center" wrapText="1"/>
    </xf>
    <xf numFmtId="0" fontId="45" fillId="0" borderId="30" xfId="0" applyFont="1" applyBorder="1" applyAlignment="1">
      <alignment horizontal="center" vertical="center" wrapText="1"/>
    </xf>
    <xf numFmtId="0" fontId="45" fillId="0" borderId="1" xfId="0" applyFont="1" applyBorder="1" applyAlignment="1">
      <alignment vertical="center" wrapText="1"/>
    </xf>
    <xf numFmtId="164" fontId="0" fillId="2" borderId="6" xfId="0" applyNumberFormat="1" applyFill="1" applyBorder="1" applyAlignment="1">
      <alignment horizontal="center" vertical="center"/>
    </xf>
    <xf numFmtId="164" fontId="0" fillId="0" borderId="7" xfId="0" applyNumberForma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0" fillId="0" borderId="3" xfId="0" applyBorder="1" applyAlignment="1">
      <alignment horizontal="center" vertical="center"/>
    </xf>
    <xf numFmtId="0" fontId="16" fillId="34" borderId="6" xfId="0" applyFont="1" applyFill="1" applyBorder="1" applyAlignment="1">
      <alignment horizontal="center" vertical="center"/>
    </xf>
    <xf numFmtId="0" fontId="16" fillId="2" borderId="6" xfId="0" applyFont="1" applyFill="1" applyBorder="1" applyAlignment="1">
      <alignment horizontal="center" vertical="center"/>
    </xf>
    <xf numFmtId="0" fontId="16" fillId="0" borderId="7" xfId="0" applyFont="1" applyBorder="1" applyAlignment="1">
      <alignment horizontal="center" vertical="center"/>
    </xf>
    <xf numFmtId="0" fontId="0" fillId="3" borderId="1" xfId="0" applyFill="1" applyBorder="1" applyAlignment="1">
      <alignment horizontal="left" vertical="center"/>
    </xf>
    <xf numFmtId="0" fontId="50" fillId="25" borderId="2" xfId="0" applyFont="1" applyFill="1" applyBorder="1" applyAlignment="1">
      <alignment horizontal="center" vertical="center" wrapText="1"/>
    </xf>
    <xf numFmtId="0" fontId="45" fillId="0" borderId="17" xfId="0" applyFont="1" applyBorder="1" applyAlignment="1">
      <alignment horizontal="center" vertical="center" wrapText="1"/>
    </xf>
    <xf numFmtId="0" fontId="45" fillId="0" borderId="2" xfId="0" applyFont="1" applyBorder="1" applyAlignment="1">
      <alignment horizontal="center" vertical="center" wrapText="1"/>
    </xf>
    <xf numFmtId="0" fontId="50" fillId="25" borderId="1" xfId="0" applyFont="1" applyFill="1" applyBorder="1" applyAlignment="1">
      <alignment vertical="center" wrapText="1"/>
    </xf>
    <xf numFmtId="0" fontId="51" fillId="4" borderId="1" xfId="1" applyFont="1" applyBorder="1" applyAlignment="1">
      <alignment vertical="center" wrapText="1"/>
    </xf>
    <xf numFmtId="0" fontId="45" fillId="31" borderId="1" xfId="0" applyFont="1" applyFill="1" applyBorder="1" applyAlignment="1">
      <alignment vertical="center" wrapText="1"/>
    </xf>
    <xf numFmtId="0" fontId="53" fillId="0" borderId="1" xfId="0" applyFont="1" applyBorder="1" applyAlignment="1">
      <alignment vertical="center" wrapText="1"/>
    </xf>
    <xf numFmtId="0" fontId="56" fillId="8" borderId="1" xfId="0" applyFont="1" applyFill="1" applyBorder="1" applyAlignment="1">
      <alignment vertical="center"/>
    </xf>
    <xf numFmtId="0" fontId="10" fillId="15" borderId="1" xfId="0" applyFont="1" applyFill="1" applyBorder="1"/>
    <xf numFmtId="0" fontId="10" fillId="15" borderId="1" xfId="0" applyFont="1" applyFill="1" applyBorder="1" applyAlignment="1">
      <alignment horizontal="center" vertical="center"/>
    </xf>
    <xf numFmtId="0" fontId="49" fillId="0" borderId="1" xfId="0" applyFont="1" applyBorder="1" applyAlignment="1">
      <alignment horizontal="center" vertical="center" wrapText="1"/>
    </xf>
    <xf numFmtId="0" fontId="45" fillId="0" borderId="0" xfId="0" applyFont="1" applyAlignment="1">
      <alignment horizontal="center" vertical="center" wrapText="1"/>
    </xf>
    <xf numFmtId="0" fontId="50" fillId="25"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56" fillId="8" borderId="1" xfId="0" applyFont="1" applyFill="1" applyBorder="1" applyAlignment="1">
      <alignment horizontal="center" vertical="center" wrapText="1"/>
    </xf>
    <xf numFmtId="0" fontId="49" fillId="0" borderId="0" xfId="0" applyFont="1" applyAlignment="1">
      <alignment horizontal="center" vertical="center"/>
    </xf>
    <xf numFmtId="15" fontId="45" fillId="0" borderId="12" xfId="0" applyNumberFormat="1" applyFont="1" applyBorder="1" applyAlignment="1">
      <alignment horizontal="center"/>
    </xf>
    <xf numFmtId="15" fontId="49" fillId="35" borderId="12" xfId="2" applyNumberFormat="1" applyFont="1" applyFill="1" applyBorder="1" applyAlignment="1">
      <alignment horizontal="center" vertical="center" wrapText="1"/>
    </xf>
    <xf numFmtId="15" fontId="55" fillId="35" borderId="3" xfId="2" applyNumberFormat="1" applyFont="1" applyFill="1" applyBorder="1" applyAlignment="1">
      <alignment horizontal="center" vertical="center" wrapText="1"/>
    </xf>
    <xf numFmtId="15" fontId="45" fillId="0" borderId="12" xfId="0" applyNumberFormat="1" applyFont="1" applyBorder="1" applyAlignment="1">
      <alignment horizontal="center" vertical="top" wrapText="1"/>
    </xf>
    <xf numFmtId="15" fontId="45" fillId="0" borderId="12" xfId="0" applyNumberFormat="1" applyFont="1" applyBorder="1" applyAlignment="1">
      <alignment horizontal="center" vertical="top"/>
    </xf>
    <xf numFmtId="0" fontId="49" fillId="0" borderId="1" xfId="0" quotePrefix="1" applyFont="1" applyBorder="1" applyAlignment="1">
      <alignment vertical="top" wrapText="1"/>
    </xf>
    <xf numFmtId="15" fontId="49" fillId="36" borderId="29" xfId="1" applyNumberFormat="1" applyFont="1" applyFill="1" applyBorder="1" applyAlignment="1">
      <alignment horizontal="center" vertical="center" wrapText="1"/>
    </xf>
    <xf numFmtId="15" fontId="49" fillId="0" borderId="10" xfId="1" applyNumberFormat="1" applyFont="1" applyFill="1" applyBorder="1" applyAlignment="1">
      <alignment horizontal="center" vertical="center" wrapText="1"/>
    </xf>
    <xf numFmtId="15" fontId="51" fillId="0" borderId="16" xfId="1" applyNumberFormat="1" applyFont="1" applyFill="1" applyBorder="1" applyAlignment="1">
      <alignment horizontal="center" vertical="center" wrapText="1"/>
    </xf>
    <xf numFmtId="0" fontId="49" fillId="0" borderId="5" xfId="0" applyFont="1" applyBorder="1" applyAlignment="1">
      <alignment horizontal="left" vertical="top"/>
    </xf>
    <xf numFmtId="0" fontId="49" fillId="0" borderId="5" xfId="0" applyFont="1" applyBorder="1" applyAlignment="1">
      <alignment vertical="top"/>
    </xf>
    <xf numFmtId="0" fontId="47" fillId="20" borderId="1" xfId="0" applyFont="1" applyFill="1" applyBorder="1" applyAlignment="1">
      <alignment horizontal="center" vertical="center" wrapText="1"/>
    </xf>
    <xf numFmtId="14" fontId="49" fillId="0" borderId="1" xfId="0" applyNumberFormat="1" applyFont="1" applyBorder="1" applyAlignment="1">
      <alignment vertical="top" wrapText="1"/>
    </xf>
    <xf numFmtId="0" fontId="49" fillId="8" borderId="1" xfId="0" applyFont="1" applyFill="1" applyBorder="1"/>
    <xf numFmtId="0" fontId="49" fillId="8" borderId="1" xfId="0" applyFont="1" applyFill="1" applyBorder="1" applyAlignment="1">
      <alignment wrapText="1"/>
    </xf>
    <xf numFmtId="0" fontId="49" fillId="8" borderId="1" xfId="0" applyFont="1" applyFill="1" applyBorder="1" applyAlignment="1">
      <alignment vertical="top"/>
    </xf>
    <xf numFmtId="15" fontId="51" fillId="34" borderId="27" xfId="1" applyNumberFormat="1" applyFont="1" applyFill="1" applyBorder="1" applyAlignment="1">
      <alignment horizontal="left" vertical="top" wrapText="1"/>
    </xf>
    <xf numFmtId="0" fontId="51" fillId="34" borderId="16" xfId="1" applyFont="1" applyFill="1" applyBorder="1" applyAlignment="1">
      <alignment horizontal="left" vertical="top" wrapText="1"/>
    </xf>
    <xf numFmtId="0" fontId="49" fillId="8" borderId="1" xfId="0" applyFont="1" applyFill="1" applyBorder="1" applyAlignment="1">
      <alignment vertical="top" wrapText="1"/>
    </xf>
    <xf numFmtId="0" fontId="45" fillId="0" borderId="0" xfId="0" applyFont="1"/>
    <xf numFmtId="0" fontId="47" fillId="23" borderId="18" xfId="0" applyFont="1" applyFill="1" applyBorder="1" applyAlignment="1">
      <alignment horizontal="center" vertical="center" wrapText="1"/>
    </xf>
    <xf numFmtId="0" fontId="0" fillId="3" borderId="0" xfId="0" applyFill="1"/>
    <xf numFmtId="0" fontId="0" fillId="0" borderId="7" xfId="0" applyBorder="1"/>
    <xf numFmtId="164" fontId="0" fillId="0" borderId="13" xfId="0" applyNumberFormat="1" applyBorder="1" applyAlignment="1">
      <alignment horizontal="center" vertical="center"/>
    </xf>
    <xf numFmtId="0" fontId="64" fillId="0" borderId="0" xfId="0" applyFont="1"/>
    <xf numFmtId="0" fontId="67" fillId="36" borderId="1" xfId="0" applyFont="1" applyFill="1" applyBorder="1" applyAlignment="1">
      <alignment vertical="top"/>
    </xf>
    <xf numFmtId="0" fontId="67" fillId="36" borderId="6" xfId="0" applyFont="1" applyFill="1" applyBorder="1" applyAlignment="1">
      <alignment horizontal="center" vertical="top"/>
    </xf>
    <xf numFmtId="0" fontId="67" fillId="36" borderId="6" xfId="0" applyFont="1" applyFill="1" applyBorder="1" applyAlignment="1">
      <alignment horizontal="center" vertical="top" wrapText="1"/>
    </xf>
    <xf numFmtId="0" fontId="46" fillId="0" borderId="6" xfId="0" applyFont="1" applyBorder="1" applyAlignment="1">
      <alignment horizontal="center" vertical="top" wrapText="1"/>
    </xf>
    <xf numFmtId="0" fontId="49" fillId="0" borderId="6" xfId="0" applyFont="1" applyBorder="1" applyAlignment="1">
      <alignment horizontal="center" vertical="top" wrapText="1"/>
    </xf>
    <xf numFmtId="0" fontId="45" fillId="0" borderId="6" xfId="0" applyFont="1" applyBorder="1" applyAlignment="1">
      <alignment horizontal="center" vertical="top" wrapText="1"/>
    </xf>
    <xf numFmtId="0" fontId="45" fillId="0" borderId="6" xfId="0" applyFont="1" applyBorder="1" applyAlignment="1">
      <alignment horizontal="center" vertical="top"/>
    </xf>
    <xf numFmtId="0" fontId="49" fillId="0" borderId="6" xfId="0" applyFont="1" applyBorder="1" applyAlignment="1">
      <alignment horizontal="center" vertical="top"/>
    </xf>
    <xf numFmtId="0" fontId="67" fillId="36" borderId="1" xfId="0" applyFont="1" applyFill="1" applyBorder="1" applyAlignment="1">
      <alignment horizontal="center" vertical="top" wrapText="1"/>
    </xf>
    <xf numFmtId="0" fontId="67" fillId="36" borderId="1" xfId="1" applyFont="1" applyFill="1" applyBorder="1" applyAlignment="1">
      <alignment horizontal="center" vertical="top" wrapText="1"/>
    </xf>
    <xf numFmtId="0" fontId="67" fillId="36" borderId="3" xfId="1" applyFont="1" applyFill="1" applyBorder="1" applyAlignment="1">
      <alignment horizontal="center" vertical="top" wrapText="1"/>
    </xf>
    <xf numFmtId="15" fontId="67" fillId="36" borderId="1" xfId="1" applyNumberFormat="1" applyFont="1" applyFill="1" applyBorder="1" applyAlignment="1">
      <alignment horizontal="center" vertical="top" wrapText="1"/>
    </xf>
    <xf numFmtId="0" fontId="67" fillId="36" borderId="1" xfId="0" applyFont="1" applyFill="1" applyBorder="1" applyAlignment="1">
      <alignment horizontal="center" vertical="top"/>
    </xf>
    <xf numFmtId="0" fontId="67" fillId="36" borderId="12" xfId="0" applyFont="1" applyFill="1" applyBorder="1" applyAlignment="1">
      <alignment horizontal="center" vertical="top" wrapText="1"/>
    </xf>
    <xf numFmtId="0" fontId="67" fillId="36" borderId="14" xfId="0" applyFont="1" applyFill="1" applyBorder="1" applyAlignment="1">
      <alignment horizontal="center" vertical="top" wrapText="1"/>
    </xf>
    <xf numFmtId="0" fontId="67" fillId="36" borderId="2" xfId="1" applyFont="1" applyFill="1" applyBorder="1" applyAlignment="1">
      <alignment horizontal="center" vertical="top" wrapText="1"/>
    </xf>
    <xf numFmtId="0" fontId="67" fillId="36" borderId="18" xfId="0" applyFont="1" applyFill="1" applyBorder="1" applyAlignment="1">
      <alignment horizontal="center" vertical="top" wrapText="1"/>
    </xf>
    <xf numFmtId="0" fontId="67" fillId="36" borderId="0" xfId="0" applyFont="1" applyFill="1" applyAlignment="1">
      <alignment horizontal="center" vertical="top" wrapText="1"/>
    </xf>
    <xf numFmtId="0" fontId="45" fillId="36" borderId="6" xfId="0" applyFont="1" applyFill="1" applyBorder="1" applyAlignment="1">
      <alignment horizontal="center" vertical="top" wrapText="1"/>
    </xf>
    <xf numFmtId="0" fontId="45" fillId="36" borderId="6" xfId="0" applyFont="1" applyFill="1" applyBorder="1" applyAlignment="1">
      <alignment horizontal="center" vertical="top"/>
    </xf>
    <xf numFmtId="0" fontId="61" fillId="0" borderId="6" xfId="0" applyFont="1" applyBorder="1" applyAlignment="1">
      <alignment horizontal="center" vertical="top"/>
    </xf>
    <xf numFmtId="0" fontId="68" fillId="39" borderId="3" xfId="0" applyFont="1" applyFill="1" applyBorder="1" applyAlignment="1">
      <alignment horizontal="center" vertical="top" wrapText="1"/>
    </xf>
    <xf numFmtId="0" fontId="70" fillId="0" borderId="12" xfId="0" applyFont="1" applyBorder="1" applyAlignment="1">
      <alignment horizontal="center" vertical="top"/>
    </xf>
    <xf numFmtId="0" fontId="69" fillId="0" borderId="12" xfId="0" applyFont="1" applyBorder="1" applyAlignment="1">
      <alignment horizontal="center" vertical="top"/>
    </xf>
    <xf numFmtId="0" fontId="49" fillId="0" borderId="1" xfId="0" applyFont="1" applyBorder="1" applyAlignment="1">
      <alignment horizontal="center" vertical="top" wrapText="1"/>
    </xf>
    <xf numFmtId="0" fontId="67" fillId="36" borderId="1" xfId="1" applyFont="1" applyFill="1" applyBorder="1" applyAlignment="1">
      <alignment horizontal="center" vertical="center" wrapText="1"/>
    </xf>
    <xf numFmtId="0" fontId="67" fillId="36" borderId="12" xfId="1" applyFont="1" applyFill="1" applyBorder="1" applyAlignment="1">
      <alignment horizontal="center" vertical="center" wrapText="1"/>
    </xf>
    <xf numFmtId="0" fontId="67" fillId="36" borderId="5" xfId="1" applyFont="1" applyFill="1" applyBorder="1" applyAlignment="1">
      <alignment horizontal="center" vertical="center" wrapText="1"/>
    </xf>
    <xf numFmtId="0" fontId="67" fillId="36" borderId="13" xfId="0" applyFont="1" applyFill="1" applyBorder="1" applyAlignment="1">
      <alignment horizontal="center" vertical="top" wrapText="1"/>
    </xf>
    <xf numFmtId="0" fontId="67" fillId="36" borderId="13" xfId="0" applyFont="1" applyFill="1" applyBorder="1" applyAlignment="1">
      <alignment horizontal="center" vertical="top"/>
    </xf>
    <xf numFmtId="0" fontId="45" fillId="36" borderId="13" xfId="0" applyFont="1" applyFill="1" applyBorder="1" applyAlignment="1">
      <alignment horizontal="center" vertical="top"/>
    </xf>
    <xf numFmtId="0" fontId="45" fillId="36" borderId="13" xfId="0" applyFont="1" applyFill="1" applyBorder="1" applyAlignment="1">
      <alignment horizontal="center" vertical="top" wrapText="1"/>
    </xf>
    <xf numFmtId="0" fontId="61" fillId="0" borderId="13" xfId="0" applyFont="1" applyBorder="1" applyAlignment="1">
      <alignment horizontal="center" vertical="top"/>
    </xf>
    <xf numFmtId="0" fontId="49" fillId="0" borderId="13" xfId="0" applyFont="1" applyBorder="1" applyAlignment="1">
      <alignment horizontal="center" vertical="top"/>
    </xf>
    <xf numFmtId="0" fontId="45" fillId="0" borderId="13" xfId="0" applyFont="1" applyBorder="1" applyAlignment="1">
      <alignment horizontal="center" vertical="top"/>
    </xf>
    <xf numFmtId="0" fontId="46" fillId="0" borderId="13" xfId="0" applyFont="1" applyBorder="1" applyAlignment="1">
      <alignment horizontal="center" vertical="top" wrapText="1"/>
    </xf>
    <xf numFmtId="0" fontId="49" fillId="0" borderId="13" xfId="0" applyFont="1" applyBorder="1" applyAlignment="1">
      <alignment horizontal="center" vertical="top" wrapText="1"/>
    </xf>
    <xf numFmtId="0" fontId="45" fillId="0" borderId="13" xfId="0" applyFont="1" applyBorder="1" applyAlignment="1">
      <alignment horizontal="center" vertical="top" wrapText="1"/>
    </xf>
    <xf numFmtId="15" fontId="51" fillId="36" borderId="1" xfId="1" applyNumberFormat="1" applyFont="1" applyFill="1" applyBorder="1" applyAlignment="1">
      <alignment horizontal="center" vertical="top" wrapText="1"/>
    </xf>
    <xf numFmtId="0" fontId="51" fillId="36" borderId="1" xfId="1" applyFont="1" applyFill="1" applyBorder="1" applyAlignment="1">
      <alignment horizontal="center" vertical="top" wrapText="1"/>
    </xf>
    <xf numFmtId="0" fontId="45" fillId="0" borderId="1" xfId="0" applyFont="1" applyBorder="1" applyAlignment="1">
      <alignment horizontal="center" vertical="top" wrapText="1"/>
    </xf>
    <xf numFmtId="15" fontId="61" fillId="0" borderId="1" xfId="0" applyNumberFormat="1" applyFont="1" applyBorder="1" applyAlignment="1">
      <alignment horizontal="center" vertical="top"/>
    </xf>
    <xf numFmtId="15" fontId="68" fillId="39" borderId="1" xfId="0" applyNumberFormat="1" applyFont="1" applyFill="1" applyBorder="1" applyAlignment="1">
      <alignment horizontal="center" vertical="top" wrapText="1"/>
    </xf>
    <xf numFmtId="0" fontId="68" fillId="39" borderId="1" xfId="0" applyFont="1" applyFill="1" applyBorder="1" applyAlignment="1">
      <alignment horizontal="center" vertical="top" wrapText="1"/>
    </xf>
    <xf numFmtId="0" fontId="45" fillId="0" borderId="1" xfId="0" applyFont="1" applyBorder="1" applyAlignment="1">
      <alignment horizontal="center" vertical="top"/>
    </xf>
    <xf numFmtId="0" fontId="46" fillId="0" borderId="1" xfId="0" applyFont="1" applyBorder="1" applyAlignment="1">
      <alignment horizontal="center" vertical="top" wrapText="1"/>
    </xf>
    <xf numFmtId="0" fontId="70" fillId="0" borderId="1" xfId="0" applyFont="1" applyBorder="1" applyAlignment="1">
      <alignment horizontal="center" vertical="top"/>
    </xf>
    <xf numFmtId="0" fontId="69" fillId="0" borderId="1" xfId="0" applyFont="1" applyBorder="1" applyAlignment="1">
      <alignment horizontal="center" vertical="top"/>
    </xf>
    <xf numFmtId="0" fontId="45" fillId="14" borderId="6" xfId="0" applyFont="1" applyFill="1" applyBorder="1" applyAlignment="1">
      <alignment horizontal="center" vertical="top"/>
    </xf>
    <xf numFmtId="17" fontId="67" fillId="36" borderId="1" xfId="0" applyNumberFormat="1" applyFont="1" applyFill="1" applyBorder="1" applyAlignment="1">
      <alignment horizontal="center" vertical="center"/>
    </xf>
    <xf numFmtId="15" fontId="51" fillId="36" borderId="1" xfId="1" applyNumberFormat="1" applyFont="1" applyFill="1" applyBorder="1" applyAlignment="1">
      <alignment horizontal="center" vertical="center" wrapText="1"/>
    </xf>
    <xf numFmtId="0" fontId="51" fillId="36" borderId="1" xfId="1" applyFont="1" applyFill="1" applyBorder="1" applyAlignment="1">
      <alignment horizontal="center" vertical="center" wrapText="1"/>
    </xf>
    <xf numFmtId="0" fontId="67" fillId="14" borderId="6" xfId="0" applyFont="1" applyFill="1" applyBorder="1" applyAlignment="1">
      <alignment horizontal="center" vertical="center"/>
    </xf>
    <xf numFmtId="0" fontId="45" fillId="14" borderId="6" xfId="0" applyFont="1" applyFill="1" applyBorder="1" applyAlignment="1">
      <alignment horizontal="center" vertical="center"/>
    </xf>
    <xf numFmtId="0" fontId="45" fillId="14" borderId="6" xfId="0" applyFont="1" applyFill="1" applyBorder="1" applyAlignment="1">
      <alignment horizontal="center" vertical="center" wrapText="1"/>
    </xf>
    <xf numFmtId="15" fontId="61" fillId="0" borderId="1" xfId="0" applyNumberFormat="1" applyFont="1" applyBorder="1" applyAlignment="1">
      <alignment horizontal="center" vertical="center" wrapText="1"/>
    </xf>
    <xf numFmtId="0" fontId="68" fillId="39" borderId="1" xfId="0" applyFont="1" applyFill="1" applyBorder="1" applyAlignment="1">
      <alignment horizontal="center" vertical="center" wrapText="1"/>
    </xf>
    <xf numFmtId="15" fontId="49" fillId="0" borderId="1" xfId="0" applyNumberFormat="1" applyFont="1" applyBorder="1" applyAlignment="1">
      <alignment horizontal="center" vertical="center"/>
    </xf>
    <xf numFmtId="15" fontId="45" fillId="0" borderId="1" xfId="0" applyNumberFormat="1" applyFont="1" applyBorder="1" applyAlignment="1">
      <alignment horizontal="center" vertical="center"/>
    </xf>
    <xf numFmtId="0" fontId="45" fillId="0" borderId="1" xfId="0" applyFont="1" applyBorder="1" applyAlignment="1">
      <alignment horizontal="center" vertical="center"/>
    </xf>
    <xf numFmtId="0" fontId="61" fillId="14" borderId="6" xfId="0" applyFont="1" applyFill="1" applyBorder="1" applyAlignment="1">
      <alignment horizontal="center" vertical="center"/>
    </xf>
    <xf numFmtId="0" fontId="49" fillId="14" borderId="6" xfId="0" applyFont="1" applyFill="1" applyBorder="1" applyAlignment="1">
      <alignment horizontal="center" vertical="center" wrapText="1"/>
    </xf>
    <xf numFmtId="15" fontId="71" fillId="36" borderId="6" xfId="1" quotePrefix="1" applyNumberFormat="1" applyFont="1" applyFill="1" applyBorder="1" applyAlignment="1">
      <alignment horizontal="center" vertical="top" wrapText="1"/>
    </xf>
    <xf numFmtId="15" fontId="71" fillId="0" borderId="6" xfId="1" applyNumberFormat="1" applyFont="1" applyFill="1" applyBorder="1" applyAlignment="1">
      <alignment horizontal="center" vertical="top" wrapText="1"/>
    </xf>
    <xf numFmtId="15" fontId="62" fillId="0" borderId="6" xfId="1" applyNumberFormat="1" applyFont="1" applyFill="1" applyBorder="1" applyAlignment="1">
      <alignment horizontal="center" vertical="top" wrapText="1"/>
    </xf>
    <xf numFmtId="15" fontId="66" fillId="0" borderId="6" xfId="1" quotePrefix="1" applyNumberFormat="1" applyFont="1" applyFill="1" applyBorder="1" applyAlignment="1">
      <alignment horizontal="center" vertical="top" wrapText="1"/>
    </xf>
    <xf numFmtId="0" fontId="62" fillId="0" borderId="0" xfId="0" applyFont="1" applyAlignment="1">
      <alignment horizontal="center" vertical="top" wrapText="1"/>
    </xf>
    <xf numFmtId="0" fontId="65" fillId="25" borderId="2" xfId="0" applyFont="1" applyFill="1" applyBorder="1" applyAlignment="1">
      <alignment horizontal="center" vertical="center" wrapText="1"/>
    </xf>
    <xf numFmtId="0" fontId="65" fillId="25" borderId="1" xfId="0" applyFont="1" applyFill="1" applyBorder="1" applyAlignment="1">
      <alignment horizontal="left" vertical="center" wrapText="1"/>
    </xf>
    <xf numFmtId="0" fontId="65" fillId="25" borderId="1" xfId="0" applyFont="1" applyFill="1" applyBorder="1" applyAlignment="1">
      <alignment horizontal="center" vertical="center" wrapText="1"/>
    </xf>
    <xf numFmtId="0" fontId="65" fillId="25" borderId="4" xfId="0" applyFont="1" applyFill="1" applyBorder="1" applyAlignment="1">
      <alignment horizontal="center" vertical="center" wrapText="1"/>
    </xf>
    <xf numFmtId="0" fontId="73" fillId="36" borderId="17" xfId="0" applyFont="1" applyFill="1" applyBorder="1" applyAlignment="1">
      <alignment horizontal="center" vertical="top" wrapText="1"/>
    </xf>
    <xf numFmtId="0" fontId="73" fillId="36" borderId="1" xfId="1" applyFont="1" applyFill="1" applyBorder="1" applyAlignment="1">
      <alignment horizontal="left" vertical="top" wrapText="1"/>
    </xf>
    <xf numFmtId="0" fontId="73" fillId="36" borderId="1" xfId="0" applyFont="1" applyFill="1" applyBorder="1" applyAlignment="1">
      <alignment horizontal="center" vertical="top" wrapText="1"/>
    </xf>
    <xf numFmtId="0" fontId="73" fillId="36" borderId="2" xfId="0" applyFont="1" applyFill="1" applyBorder="1" applyAlignment="1">
      <alignment horizontal="center" vertical="top" wrapText="1"/>
    </xf>
    <xf numFmtId="0" fontId="73" fillId="36" borderId="1" xfId="0" applyFont="1" applyFill="1" applyBorder="1" applyAlignment="1">
      <alignment horizontal="center" vertical="center" wrapText="1"/>
    </xf>
    <xf numFmtId="0" fontId="73" fillId="36" borderId="30" xfId="0" applyFont="1" applyFill="1" applyBorder="1" applyAlignment="1">
      <alignment horizontal="center" vertical="top" wrapText="1"/>
    </xf>
    <xf numFmtId="0" fontId="73" fillId="36" borderId="4" xfId="0" applyFont="1" applyFill="1" applyBorder="1" applyAlignment="1">
      <alignment horizontal="left" vertical="top" wrapText="1"/>
    </xf>
    <xf numFmtId="0" fontId="73" fillId="36" borderId="4" xfId="0" applyFont="1" applyFill="1" applyBorder="1" applyAlignment="1">
      <alignment horizontal="center" vertical="top" wrapText="1"/>
    </xf>
    <xf numFmtId="0" fontId="73" fillId="36" borderId="15" xfId="0" applyFont="1" applyFill="1" applyBorder="1" applyAlignment="1">
      <alignment horizontal="center" vertical="top" wrapText="1"/>
    </xf>
    <xf numFmtId="0" fontId="73" fillId="36" borderId="8" xfId="0" applyFont="1" applyFill="1" applyBorder="1" applyAlignment="1">
      <alignment horizontal="center" vertical="top" wrapText="1"/>
    </xf>
    <xf numFmtId="0" fontId="73" fillId="36" borderId="8" xfId="1" applyFont="1" applyFill="1" applyBorder="1" applyAlignment="1">
      <alignment horizontal="left" vertical="top" wrapText="1"/>
    </xf>
    <xf numFmtId="0" fontId="73" fillId="36" borderId="7" xfId="0" applyFont="1" applyFill="1" applyBorder="1" applyAlignment="1">
      <alignment horizontal="center" vertical="top" wrapText="1"/>
    </xf>
    <xf numFmtId="0" fontId="73" fillId="36" borderId="28" xfId="0" applyFont="1" applyFill="1" applyBorder="1" applyAlignment="1">
      <alignment horizontal="center" vertical="top" wrapText="1"/>
    </xf>
    <xf numFmtId="0" fontId="73" fillId="36" borderId="6" xfId="0" applyFont="1" applyFill="1" applyBorder="1" applyAlignment="1">
      <alignment horizontal="center" vertical="top" wrapText="1"/>
    </xf>
    <xf numFmtId="0" fontId="73" fillId="36" borderId="6" xfId="1" applyFont="1" applyFill="1" applyBorder="1" applyAlignment="1">
      <alignment horizontal="left" vertical="top" wrapText="1"/>
    </xf>
    <xf numFmtId="0" fontId="73" fillId="36" borderId="6" xfId="0" applyFont="1" applyFill="1" applyBorder="1" applyAlignment="1">
      <alignment horizontal="left" vertical="top" wrapText="1"/>
    </xf>
    <xf numFmtId="0" fontId="74" fillId="6" borderId="6" xfId="1" applyFont="1" applyFill="1" applyBorder="1" applyAlignment="1">
      <alignment horizontal="left" vertical="center" wrapText="1"/>
    </xf>
    <xf numFmtId="0" fontId="73" fillId="36" borderId="6" xfId="0" applyFont="1" applyFill="1" applyBorder="1" applyAlignment="1">
      <alignment horizontal="center" vertical="center" wrapText="1"/>
    </xf>
    <xf numFmtId="0" fontId="73" fillId="36" borderId="7" xfId="0" applyFont="1" applyFill="1" applyBorder="1" applyAlignment="1">
      <alignment horizontal="center" vertical="center" wrapText="1"/>
    </xf>
    <xf numFmtId="0" fontId="71" fillId="36" borderId="6" xfId="0" applyFont="1" applyFill="1" applyBorder="1" applyAlignment="1">
      <alignment horizontal="center" vertical="top" wrapText="1"/>
    </xf>
    <xf numFmtId="0" fontId="71" fillId="0" borderId="6" xfId="0" applyFont="1" applyBorder="1" applyAlignment="1">
      <alignment horizontal="center" vertical="top" wrapText="1"/>
    </xf>
    <xf numFmtId="0" fontId="71" fillId="0" borderId="7" xfId="0" applyFont="1" applyBorder="1" applyAlignment="1">
      <alignment horizontal="center" vertical="top" wrapText="1"/>
    </xf>
    <xf numFmtId="0" fontId="71" fillId="0" borderId="1" xfId="0" applyFont="1" applyBorder="1" applyAlignment="1">
      <alignment horizontal="center" vertical="top" wrapText="1"/>
    </xf>
    <xf numFmtId="0" fontId="62" fillId="0" borderId="6" xfId="0" applyFont="1" applyBorder="1" applyAlignment="1">
      <alignment horizontal="center" vertical="top" wrapText="1"/>
    </xf>
    <xf numFmtId="0" fontId="66" fillId="0" borderId="6" xfId="0" applyFont="1" applyBorder="1" applyAlignment="1">
      <alignment horizontal="center" vertical="top" wrapText="1"/>
    </xf>
    <xf numFmtId="0" fontId="66" fillId="0" borderId="1" xfId="0" applyFont="1" applyBorder="1" applyAlignment="1">
      <alignment horizontal="center" vertical="top" wrapText="1"/>
    </xf>
    <xf numFmtId="0" fontId="71" fillId="0" borderId="3" xfId="0" applyFont="1" applyBorder="1" applyAlignment="1">
      <alignment horizontal="center" vertical="top" wrapText="1"/>
    </xf>
    <xf numFmtId="0" fontId="71" fillId="0" borderId="27" xfId="0" applyFont="1" applyBorder="1" applyAlignment="1">
      <alignment horizontal="center" vertical="top" wrapText="1"/>
    </xf>
    <xf numFmtId="0" fontId="62" fillId="0" borderId="7" xfId="0" applyFont="1" applyBorder="1" applyAlignment="1">
      <alignment horizontal="center" vertical="top" wrapText="1"/>
    </xf>
    <xf numFmtId="0" fontId="62" fillId="0" borderId="1" xfId="0" applyFont="1" applyBorder="1" applyAlignment="1">
      <alignment horizontal="center" vertical="top" wrapText="1"/>
    </xf>
    <xf numFmtId="0" fontId="75" fillId="0" borderId="6" xfId="0" applyFont="1" applyBorder="1" applyAlignment="1">
      <alignment horizontal="center" vertical="top" wrapText="1"/>
    </xf>
    <xf numFmtId="0" fontId="63" fillId="0" borderId="1" xfId="0" applyFont="1" applyBorder="1" applyAlignment="1">
      <alignment horizontal="center" vertical="top" wrapText="1"/>
    </xf>
    <xf numFmtId="0" fontId="62" fillId="0" borderId="12" xfId="0" applyFont="1" applyBorder="1" applyAlignment="1">
      <alignment horizontal="left" vertical="top" wrapText="1"/>
    </xf>
    <xf numFmtId="0" fontId="62" fillId="0" borderId="12" xfId="0" applyFont="1" applyBorder="1" applyAlignment="1">
      <alignment horizontal="center" vertical="top" wrapText="1"/>
    </xf>
    <xf numFmtId="0" fontId="62" fillId="0" borderId="14" xfId="0" applyFont="1" applyBorder="1" applyAlignment="1">
      <alignment horizontal="center" vertical="top" wrapText="1"/>
    </xf>
    <xf numFmtId="0" fontId="66" fillId="0" borderId="12" xfId="0" applyFont="1" applyBorder="1" applyAlignment="1">
      <alignment horizontal="left" vertical="top" wrapText="1"/>
    </xf>
    <xf numFmtId="0" fontId="66" fillId="0" borderId="12" xfId="0" applyFont="1" applyBorder="1" applyAlignment="1">
      <alignment horizontal="center" vertical="top" wrapText="1"/>
    </xf>
    <xf numFmtId="0" fontId="66" fillId="0" borderId="14" xfId="0" applyFont="1" applyBorder="1" applyAlignment="1">
      <alignment horizontal="center" vertical="top" wrapText="1"/>
    </xf>
    <xf numFmtId="0" fontId="71" fillId="0" borderId="0" xfId="0" applyFont="1" applyAlignment="1">
      <alignment horizontal="center" vertical="top"/>
    </xf>
    <xf numFmtId="0" fontId="71" fillId="0" borderId="5" xfId="0" applyFont="1" applyBorder="1" applyAlignment="1">
      <alignment horizontal="left" vertical="top"/>
    </xf>
    <xf numFmtId="0" fontId="71" fillId="0" borderId="5" xfId="0" applyFont="1" applyBorder="1" applyAlignment="1">
      <alignment horizontal="center" vertical="top"/>
    </xf>
    <xf numFmtId="0" fontId="76" fillId="8" borderId="1" xfId="0" applyFont="1" applyFill="1" applyBorder="1" applyAlignment="1">
      <alignment horizontal="left" vertical="top"/>
    </xf>
    <xf numFmtId="0" fontId="76" fillId="8" borderId="1" xfId="0" applyFont="1" applyFill="1" applyBorder="1" applyAlignment="1">
      <alignment horizontal="center" vertical="top" wrapText="1"/>
    </xf>
    <xf numFmtId="0" fontId="71" fillId="0" borderId="1" xfId="0" applyFont="1" applyBorder="1" applyAlignment="1">
      <alignment horizontal="left" vertical="top" wrapText="1"/>
    </xf>
    <xf numFmtId="0" fontId="71" fillId="0" borderId="1" xfId="0" applyFont="1" applyBorder="1" applyAlignment="1">
      <alignment horizontal="left" vertical="top"/>
    </xf>
    <xf numFmtId="0" fontId="71" fillId="0" borderId="1" xfId="0" applyFont="1" applyBorder="1" applyAlignment="1">
      <alignment horizontal="center" vertical="top"/>
    </xf>
    <xf numFmtId="0" fontId="71" fillId="0" borderId="0" xfId="0" applyFont="1" applyAlignment="1">
      <alignment horizontal="left" vertical="top"/>
    </xf>
    <xf numFmtId="0" fontId="77" fillId="20" borderId="27" xfId="0" applyFont="1" applyFill="1" applyBorder="1" applyAlignment="1">
      <alignment horizontal="center" wrapText="1"/>
    </xf>
    <xf numFmtId="0" fontId="71" fillId="10" borderId="0" xfId="0" applyFont="1" applyFill="1" applyAlignment="1">
      <alignment horizontal="center"/>
    </xf>
    <xf numFmtId="0" fontId="77" fillId="20" borderId="33" xfId="0" applyFont="1" applyFill="1" applyBorder="1" applyAlignment="1">
      <alignment horizontal="center" wrapText="1"/>
    </xf>
    <xf numFmtId="0" fontId="78" fillId="0" borderId="3" xfId="0" applyFont="1" applyBorder="1" applyAlignment="1">
      <alignment horizontal="left" vertical="top" wrapText="1"/>
    </xf>
    <xf numFmtId="0" fontId="71" fillId="0" borderId="0" xfId="0" applyFont="1"/>
    <xf numFmtId="0" fontId="71" fillId="0" borderId="0" xfId="0" applyFont="1" applyAlignment="1">
      <alignment horizontal="center"/>
    </xf>
    <xf numFmtId="0" fontId="77" fillId="20" borderId="18" xfId="0" applyFont="1" applyFill="1" applyBorder="1" applyAlignment="1">
      <alignment horizontal="center" vertical="center" wrapText="1"/>
    </xf>
    <xf numFmtId="0" fontId="77" fillId="20" borderId="0" xfId="0" applyFont="1" applyFill="1" applyAlignment="1">
      <alignment horizontal="center" vertical="center" wrapText="1"/>
    </xf>
    <xf numFmtId="0" fontId="77" fillId="20" borderId="6" xfId="0" applyFont="1" applyFill="1" applyBorder="1" applyAlignment="1">
      <alignment horizontal="center" vertical="center" wrapText="1"/>
    </xf>
    <xf numFmtId="0" fontId="76" fillId="26" borderId="4" xfId="0" applyFont="1" applyFill="1" applyBorder="1" applyAlignment="1">
      <alignment horizontal="center" vertical="center" wrapText="1"/>
    </xf>
    <xf numFmtId="0" fontId="77" fillId="20" borderId="4" xfId="0" applyFont="1" applyFill="1" applyBorder="1" applyAlignment="1">
      <alignment horizontal="center" vertical="center" wrapText="1"/>
    </xf>
    <xf numFmtId="0" fontId="77" fillId="37" borderId="4" xfId="0" applyFont="1" applyFill="1" applyBorder="1" applyAlignment="1">
      <alignment horizontal="center" vertical="center" wrapText="1"/>
    </xf>
    <xf numFmtId="0" fontId="71" fillId="8" borderId="4" xfId="0" applyFont="1" applyFill="1" applyBorder="1" applyAlignment="1">
      <alignment horizontal="center" vertical="center"/>
    </xf>
    <xf numFmtId="0" fontId="71" fillId="8" borderId="4" xfId="0" applyFont="1" applyFill="1" applyBorder="1" applyAlignment="1">
      <alignment horizontal="center" vertical="center" wrapText="1"/>
    </xf>
    <xf numFmtId="0" fontId="71" fillId="8" borderId="15" xfId="0" applyFont="1" applyFill="1" applyBorder="1" applyAlignment="1">
      <alignment horizontal="center" vertical="center" wrapText="1"/>
    </xf>
    <xf numFmtId="0" fontId="71" fillId="38" borderId="15" xfId="0" applyFont="1" applyFill="1" applyBorder="1" applyAlignment="1">
      <alignment horizontal="center" vertical="center" wrapText="1"/>
    </xf>
    <xf numFmtId="15" fontId="73" fillId="36" borderId="1" xfId="1" applyNumberFormat="1" applyFont="1" applyFill="1" applyBorder="1" applyAlignment="1">
      <alignment horizontal="center" vertical="top" wrapText="1"/>
    </xf>
    <xf numFmtId="15" fontId="73" fillId="36" borderId="5" xfId="1" applyNumberFormat="1" applyFont="1" applyFill="1" applyBorder="1" applyAlignment="1">
      <alignment horizontal="center" vertical="top" wrapText="1"/>
    </xf>
    <xf numFmtId="0" fontId="73" fillId="36" borderId="2" xfId="1" applyFont="1" applyFill="1" applyBorder="1" applyAlignment="1">
      <alignment horizontal="left" vertical="top" wrapText="1"/>
    </xf>
    <xf numFmtId="0" fontId="73" fillId="36" borderId="6" xfId="0" applyFont="1" applyFill="1" applyBorder="1" applyAlignment="1">
      <alignment vertical="top"/>
    </xf>
    <xf numFmtId="0" fontId="73" fillId="36" borderId="6" xfId="0" applyFont="1" applyFill="1" applyBorder="1" applyAlignment="1">
      <alignment horizontal="center" vertical="top"/>
    </xf>
    <xf numFmtId="0" fontId="73" fillId="36" borderId="7" xfId="0" applyFont="1" applyFill="1" applyBorder="1" applyAlignment="1">
      <alignment vertical="top"/>
    </xf>
    <xf numFmtId="0" fontId="73" fillId="36" borderId="1" xfId="0" applyFont="1" applyFill="1" applyBorder="1" applyAlignment="1">
      <alignment vertical="top"/>
    </xf>
    <xf numFmtId="0" fontId="71" fillId="0" borderId="0" xfId="0" applyFont="1" applyAlignment="1">
      <alignment vertical="top"/>
    </xf>
    <xf numFmtId="15" fontId="73" fillId="36" borderId="18" xfId="1" applyNumberFormat="1" applyFont="1" applyFill="1" applyBorder="1" applyAlignment="1">
      <alignment horizontal="center" vertical="top" wrapText="1"/>
    </xf>
    <xf numFmtId="15" fontId="73" fillId="36" borderId="29" xfId="1" applyNumberFormat="1" applyFont="1" applyFill="1" applyBorder="1" applyAlignment="1">
      <alignment horizontal="center" vertical="top" wrapText="1"/>
    </xf>
    <xf numFmtId="15" fontId="74" fillId="36" borderId="18" xfId="1" applyNumberFormat="1" applyFont="1" applyFill="1" applyBorder="1" applyAlignment="1">
      <alignment horizontal="center" vertical="top" wrapText="1"/>
    </xf>
    <xf numFmtId="0" fontId="73" fillId="36" borderId="30" xfId="1" applyFont="1" applyFill="1" applyBorder="1" applyAlignment="1">
      <alignment horizontal="left" vertical="top" wrapText="1"/>
    </xf>
    <xf numFmtId="0" fontId="73" fillId="36" borderId="1" xfId="0" quotePrefix="1" applyFont="1" applyFill="1" applyBorder="1" applyAlignment="1">
      <alignment vertical="top" wrapText="1"/>
    </xf>
    <xf numFmtId="0" fontId="73" fillId="36" borderId="1" xfId="0" applyFont="1" applyFill="1" applyBorder="1" applyAlignment="1">
      <alignment vertical="top" wrapText="1"/>
    </xf>
    <xf numFmtId="0" fontId="73" fillId="36" borderId="1" xfId="0" applyFont="1" applyFill="1" applyBorder="1" applyAlignment="1">
      <alignment horizontal="center" vertical="top"/>
    </xf>
    <xf numFmtId="0" fontId="73" fillId="36" borderId="2" xfId="0" applyFont="1" applyFill="1" applyBorder="1" applyAlignment="1">
      <alignment vertical="top" wrapText="1"/>
    </xf>
    <xf numFmtId="15" fontId="73" fillId="36" borderId="6" xfId="1" applyNumberFormat="1" applyFont="1" applyFill="1" applyBorder="1" applyAlignment="1">
      <alignment horizontal="center" vertical="top" wrapText="1"/>
    </xf>
    <xf numFmtId="15" fontId="73" fillId="36" borderId="8" xfId="1" applyNumberFormat="1" applyFont="1" applyFill="1" applyBorder="1" applyAlignment="1">
      <alignment horizontal="center" vertical="top" wrapText="1"/>
    </xf>
    <xf numFmtId="15" fontId="73" fillId="36" borderId="28" xfId="1" applyNumberFormat="1" applyFont="1" applyFill="1" applyBorder="1" applyAlignment="1">
      <alignment horizontal="left" vertical="top" wrapText="1"/>
    </xf>
    <xf numFmtId="0" fontId="73" fillId="36" borderId="4" xfId="0" applyFont="1" applyFill="1" applyBorder="1" applyAlignment="1">
      <alignment vertical="top" wrapText="1"/>
    </xf>
    <xf numFmtId="0" fontId="73" fillId="36" borderId="4" xfId="0" applyFont="1" applyFill="1" applyBorder="1" applyAlignment="1">
      <alignment horizontal="center" vertical="top"/>
    </xf>
    <xf numFmtId="0" fontId="73" fillId="36" borderId="15" xfId="0" applyFont="1" applyFill="1" applyBorder="1" applyAlignment="1">
      <alignment vertical="top" wrapText="1"/>
    </xf>
    <xf numFmtId="15" fontId="73" fillId="36" borderId="7" xfId="4" applyNumberFormat="1" applyFont="1" applyFill="1" applyBorder="1" applyAlignment="1">
      <alignment horizontal="center" vertical="top" wrapText="1"/>
    </xf>
    <xf numFmtId="15" fontId="73" fillId="36" borderId="36" xfId="1" applyNumberFormat="1" applyFont="1" applyFill="1" applyBorder="1" applyAlignment="1">
      <alignment horizontal="center" vertical="top" wrapText="1"/>
    </xf>
    <xf numFmtId="15" fontId="73" fillId="36" borderId="36" xfId="4" applyNumberFormat="1" applyFont="1" applyFill="1" applyBorder="1" applyAlignment="1">
      <alignment horizontal="center" vertical="top" wrapText="1"/>
    </xf>
    <xf numFmtId="15" fontId="74" fillId="36" borderId="1" xfId="1" applyNumberFormat="1" applyFont="1" applyFill="1" applyBorder="1" applyAlignment="1">
      <alignment horizontal="center" vertical="top" wrapText="1"/>
    </xf>
    <xf numFmtId="15" fontId="73" fillId="36" borderId="1" xfId="1" applyNumberFormat="1" applyFont="1" applyFill="1" applyBorder="1" applyAlignment="1">
      <alignment horizontal="left" vertical="top" wrapText="1"/>
    </xf>
    <xf numFmtId="15" fontId="73" fillId="36" borderId="7" xfId="0" applyNumberFormat="1" applyFont="1" applyFill="1" applyBorder="1" applyAlignment="1">
      <alignment horizontal="center" vertical="top" wrapText="1"/>
    </xf>
    <xf numFmtId="15" fontId="73" fillId="36" borderId="1" xfId="5" applyNumberFormat="1" applyFont="1" applyFill="1" applyBorder="1" applyAlignment="1">
      <alignment horizontal="center" vertical="top" wrapText="1"/>
    </xf>
    <xf numFmtId="0" fontId="73" fillId="36" borderId="2" xfId="0" applyFont="1" applyFill="1" applyBorder="1" applyAlignment="1">
      <alignment horizontal="center" vertical="top"/>
    </xf>
    <xf numFmtId="0" fontId="73" fillId="36" borderId="6" xfId="0" applyFont="1" applyFill="1" applyBorder="1" applyAlignment="1">
      <alignment horizontal="left" vertical="top"/>
    </xf>
    <xf numFmtId="0" fontId="73" fillId="36" borderId="3" xfId="0" applyFont="1" applyFill="1" applyBorder="1" applyAlignment="1">
      <alignment horizontal="center" vertical="top"/>
    </xf>
    <xf numFmtId="15" fontId="73" fillId="36" borderId="31" xfId="0" applyNumberFormat="1" applyFont="1" applyFill="1" applyBorder="1" applyAlignment="1">
      <alignment horizontal="center" vertical="top" wrapText="1"/>
    </xf>
    <xf numFmtId="15" fontId="73" fillId="36" borderId="4" xfId="5" applyNumberFormat="1" applyFont="1" applyFill="1" applyBorder="1" applyAlignment="1">
      <alignment horizontal="center" vertical="top" wrapText="1"/>
    </xf>
    <xf numFmtId="15" fontId="73" fillId="36" borderId="42" xfId="1" applyNumberFormat="1" applyFont="1" applyFill="1" applyBorder="1" applyAlignment="1">
      <alignment horizontal="center" vertical="top" wrapText="1"/>
    </xf>
    <xf numFmtId="15" fontId="73" fillId="36" borderId="4" xfId="1" applyNumberFormat="1" applyFont="1" applyFill="1" applyBorder="1" applyAlignment="1">
      <alignment horizontal="left" vertical="top" wrapText="1"/>
    </xf>
    <xf numFmtId="0" fontId="73" fillId="36" borderId="4" xfId="0" applyFont="1" applyFill="1" applyBorder="1" applyAlignment="1">
      <alignment vertical="top"/>
    </xf>
    <xf numFmtId="0" fontId="73" fillId="36" borderId="9" xfId="0" applyFont="1" applyFill="1" applyBorder="1" applyAlignment="1">
      <alignment horizontal="center" vertical="top"/>
    </xf>
    <xf numFmtId="0" fontId="73" fillId="36" borderId="17" xfId="0" applyFont="1" applyFill="1" applyBorder="1" applyAlignment="1">
      <alignment vertical="top" wrapText="1"/>
    </xf>
    <xf numFmtId="15" fontId="73" fillId="36" borderId="6" xfId="0" applyNumberFormat="1" applyFont="1" applyFill="1" applyBorder="1" applyAlignment="1">
      <alignment horizontal="center" vertical="top" wrapText="1"/>
    </xf>
    <xf numFmtId="15" fontId="73" fillId="36" borderId="6" xfId="5" applyNumberFormat="1" applyFont="1" applyFill="1" applyBorder="1" applyAlignment="1">
      <alignment horizontal="center" vertical="top" wrapText="1"/>
    </xf>
    <xf numFmtId="15" fontId="73" fillId="36" borderId="6" xfId="1" applyNumberFormat="1" applyFont="1" applyFill="1" applyBorder="1" applyAlignment="1">
      <alignment horizontal="left" vertical="top" wrapText="1"/>
    </xf>
    <xf numFmtId="0" fontId="73" fillId="36" borderId="6" xfId="0" applyFont="1" applyFill="1" applyBorder="1" applyAlignment="1">
      <alignment vertical="top" wrapText="1"/>
    </xf>
    <xf numFmtId="15" fontId="73" fillId="36" borderId="6" xfId="1" applyNumberFormat="1" applyFont="1" applyFill="1" applyBorder="1" applyAlignment="1">
      <alignment vertical="top" wrapText="1"/>
    </xf>
    <xf numFmtId="0" fontId="73" fillId="35" borderId="6" xfId="0" applyFont="1" applyFill="1" applyBorder="1" applyAlignment="1">
      <alignment horizontal="center" vertical="center" wrapText="1"/>
    </xf>
    <xf numFmtId="15" fontId="73" fillId="35" borderId="6" xfId="0" applyNumberFormat="1" applyFont="1" applyFill="1" applyBorder="1" applyAlignment="1">
      <alignment horizontal="center" vertical="center" wrapText="1"/>
    </xf>
    <xf numFmtId="0" fontId="73" fillId="14" borderId="6" xfId="0" applyFont="1" applyFill="1" applyBorder="1" applyAlignment="1">
      <alignment horizontal="center" vertical="center" wrapText="1"/>
    </xf>
    <xf numFmtId="15" fontId="73" fillId="0" borderId="6" xfId="0" applyNumberFormat="1" applyFont="1" applyBorder="1" applyAlignment="1">
      <alignment horizontal="center" vertical="center" wrapText="1"/>
    </xf>
    <xf numFmtId="15" fontId="73" fillId="0" borderId="6" xfId="1" applyNumberFormat="1" applyFont="1" applyFill="1" applyBorder="1" applyAlignment="1">
      <alignment horizontal="left" vertical="top" wrapText="1"/>
    </xf>
    <xf numFmtId="0" fontId="73" fillId="0" borderId="6" xfId="0" applyFont="1" applyBorder="1" applyAlignment="1">
      <alignment vertical="top"/>
    </xf>
    <xf numFmtId="0" fontId="73" fillId="0" borderId="6" xfId="0" applyFont="1" applyBorder="1" applyAlignment="1">
      <alignment vertical="top" wrapText="1"/>
    </xf>
    <xf numFmtId="0" fontId="73" fillId="0" borderId="6" xfId="0" applyFont="1" applyBorder="1" applyAlignment="1">
      <alignment horizontal="center" vertical="top"/>
    </xf>
    <xf numFmtId="15" fontId="71" fillId="36" borderId="6" xfId="0" applyNumberFormat="1" applyFont="1" applyFill="1" applyBorder="1" applyAlignment="1">
      <alignment horizontal="center" vertical="top" wrapText="1"/>
    </xf>
    <xf numFmtId="15" fontId="71" fillId="36" borderId="6" xfId="5" applyNumberFormat="1" applyFont="1" applyFill="1" applyBorder="1" applyAlignment="1">
      <alignment horizontal="center" vertical="top" wrapText="1"/>
    </xf>
    <xf numFmtId="15" fontId="71" fillId="36" borderId="6" xfId="1" applyNumberFormat="1" applyFont="1" applyFill="1" applyBorder="1" applyAlignment="1">
      <alignment horizontal="center" vertical="top" wrapText="1"/>
    </xf>
    <xf numFmtId="15" fontId="71" fillId="0" borderId="6" xfId="1" applyNumberFormat="1" applyFont="1" applyFill="1" applyBorder="1" applyAlignment="1">
      <alignment horizontal="left" vertical="top" wrapText="1"/>
    </xf>
    <xf numFmtId="0" fontId="71" fillId="0" borderId="6" xfId="0" applyFont="1" applyBorder="1" applyAlignment="1">
      <alignment vertical="top"/>
    </xf>
    <xf numFmtId="0" fontId="71" fillId="8" borderId="6" xfId="0" applyFont="1" applyFill="1" applyBorder="1" applyAlignment="1">
      <alignment horizontal="center" vertical="top"/>
    </xf>
    <xf numFmtId="0" fontId="71" fillId="8" borderId="6" xfId="0" applyFont="1" applyFill="1" applyBorder="1" applyAlignment="1">
      <alignment horizontal="center" vertical="top" wrapText="1"/>
    </xf>
    <xf numFmtId="0" fontId="71" fillId="8" borderId="6" xfId="0" applyFont="1" applyFill="1" applyBorder="1" applyAlignment="1">
      <alignment vertical="top" wrapText="1"/>
    </xf>
    <xf numFmtId="0" fontId="71" fillId="3" borderId="6" xfId="0" applyFont="1" applyFill="1" applyBorder="1" applyAlignment="1">
      <alignment horizontal="center" vertical="top"/>
    </xf>
    <xf numFmtId="0" fontId="71" fillId="0" borderId="6" xfId="0" applyFont="1" applyBorder="1" applyAlignment="1">
      <alignment horizontal="center" vertical="top"/>
    </xf>
    <xf numFmtId="15" fontId="71" fillId="0" borderId="6" xfId="1" quotePrefix="1" applyNumberFormat="1" applyFont="1" applyFill="1" applyBorder="1" applyAlignment="1">
      <alignment horizontal="center" vertical="top" wrapText="1"/>
    </xf>
    <xf numFmtId="15" fontId="71" fillId="0" borderId="6" xfId="5" applyNumberFormat="1" applyFont="1" applyFill="1" applyBorder="1" applyAlignment="1">
      <alignment horizontal="center" vertical="top" wrapText="1"/>
    </xf>
    <xf numFmtId="15" fontId="72" fillId="36" borderId="6" xfId="1" applyNumberFormat="1" applyFont="1" applyFill="1" applyBorder="1" applyAlignment="1">
      <alignment horizontal="center" vertical="top" wrapText="1"/>
    </xf>
    <xf numFmtId="15" fontId="72" fillId="36" borderId="6" xfId="5" applyNumberFormat="1" applyFont="1" applyFill="1" applyBorder="1" applyAlignment="1">
      <alignment horizontal="center" vertical="top" wrapText="1"/>
    </xf>
    <xf numFmtId="15" fontId="72" fillId="36" borderId="6" xfId="0" applyNumberFormat="1" applyFont="1" applyFill="1" applyBorder="1" applyAlignment="1">
      <alignment horizontal="center" vertical="top" wrapText="1"/>
    </xf>
    <xf numFmtId="0" fontId="71" fillId="0" borderId="6" xfId="0" applyFont="1" applyBorder="1" applyAlignment="1">
      <alignment vertical="top" wrapText="1"/>
    </xf>
    <xf numFmtId="0" fontId="62" fillId="0" borderId="6" xfId="0" applyFont="1" applyBorder="1" applyAlignment="1">
      <alignment vertical="top" wrapText="1"/>
    </xf>
    <xf numFmtId="15" fontId="71" fillId="39" borderId="3" xfId="0" applyNumberFormat="1" applyFont="1" applyFill="1" applyBorder="1" applyAlignment="1">
      <alignment horizontal="center" vertical="top" wrapText="1"/>
    </xf>
    <xf numFmtId="0" fontId="71" fillId="39" borderId="3" xfId="0" applyFont="1" applyFill="1" applyBorder="1" applyAlignment="1">
      <alignment horizontal="left" vertical="top" wrapText="1"/>
    </xf>
    <xf numFmtId="0" fontId="81" fillId="39" borderId="3" xfId="0" applyFont="1" applyFill="1" applyBorder="1" applyAlignment="1">
      <alignment horizontal="center" vertical="top" wrapText="1"/>
    </xf>
    <xf numFmtId="0" fontId="81" fillId="39" borderId="3" xfId="0" applyFont="1" applyFill="1" applyBorder="1" applyAlignment="1">
      <alignment horizontal="center" vertical="top"/>
    </xf>
    <xf numFmtId="0" fontId="81" fillId="0" borderId="0" xfId="0" applyFont="1" applyAlignment="1">
      <alignment horizontal="center" vertical="top"/>
    </xf>
    <xf numFmtId="15" fontId="71" fillId="0" borderId="6" xfId="0" applyNumberFormat="1" applyFont="1" applyBorder="1" applyAlignment="1">
      <alignment horizontal="center" vertical="top" wrapText="1"/>
    </xf>
    <xf numFmtId="15" fontId="62" fillId="0" borderId="6" xfId="0" applyNumberFormat="1" applyFont="1" applyBorder="1" applyAlignment="1">
      <alignment horizontal="center" vertical="top" wrapText="1"/>
    </xf>
    <xf numFmtId="15" fontId="83" fillId="0" borderId="6" xfId="1" applyNumberFormat="1" applyFont="1" applyFill="1" applyBorder="1" applyAlignment="1">
      <alignment vertical="top" wrapText="1"/>
    </xf>
    <xf numFmtId="15" fontId="71" fillId="0" borderId="6" xfId="1" applyNumberFormat="1" applyFont="1" applyFill="1" applyBorder="1" applyAlignment="1">
      <alignment vertical="top" wrapText="1"/>
    </xf>
    <xf numFmtId="0" fontId="62" fillId="0" borderId="12" xfId="0" applyFont="1" applyBorder="1" applyAlignment="1">
      <alignment horizontal="center" vertical="top"/>
    </xf>
    <xf numFmtId="0" fontId="62" fillId="0" borderId="0" xfId="0" applyFont="1" applyAlignment="1">
      <alignment horizontal="center" vertical="top"/>
    </xf>
    <xf numFmtId="0" fontId="66" fillId="0" borderId="12" xfId="0" applyFont="1" applyBorder="1" applyAlignment="1">
      <alignment horizontal="center" vertical="top"/>
    </xf>
    <xf numFmtId="15" fontId="62" fillId="0" borderId="12" xfId="0" applyNumberFormat="1" applyFont="1" applyBorder="1" applyAlignment="1">
      <alignment horizontal="center" vertical="top" wrapText="1"/>
    </xf>
    <xf numFmtId="0" fontId="66" fillId="0" borderId="0" xfId="0" applyFont="1" applyAlignment="1">
      <alignment horizontal="center" vertical="top" wrapText="1"/>
    </xf>
    <xf numFmtId="0" fontId="70" fillId="0" borderId="0" xfId="0" applyFont="1" applyAlignment="1">
      <alignment horizontal="center" vertical="top"/>
    </xf>
    <xf numFmtId="0" fontId="62" fillId="0" borderId="6" xfId="0" applyFont="1" applyBorder="1" applyAlignment="1">
      <alignment horizontal="left" vertical="top" wrapText="1"/>
    </xf>
    <xf numFmtId="0" fontId="62" fillId="0" borderId="6" xfId="0" applyFont="1" applyBorder="1" applyAlignment="1">
      <alignment horizontal="center" vertical="top"/>
    </xf>
    <xf numFmtId="0" fontId="70" fillId="0" borderId="3" xfId="0" applyFont="1" applyBorder="1" applyAlignment="1">
      <alignment horizontal="center" vertical="top"/>
    </xf>
    <xf numFmtId="0" fontId="66" fillId="0" borderId="18" xfId="0" applyFont="1" applyBorder="1" applyAlignment="1">
      <alignment horizontal="left" vertical="top" wrapText="1"/>
    </xf>
    <xf numFmtId="0" fontId="66" fillId="0" borderId="18" xfId="0" applyFont="1" applyBorder="1" applyAlignment="1">
      <alignment horizontal="center" vertical="top" wrapText="1"/>
    </xf>
    <xf numFmtId="0" fontId="62" fillId="0" borderId="18" xfId="0" applyFont="1" applyBorder="1" applyAlignment="1">
      <alignment horizontal="center" vertical="top" wrapText="1"/>
    </xf>
    <xf numFmtId="0" fontId="62" fillId="0" borderId="18" xfId="0" applyFont="1" applyBorder="1" applyAlignment="1">
      <alignment horizontal="center" vertical="top"/>
    </xf>
    <xf numFmtId="0" fontId="71" fillId="0" borderId="10" xfId="0" applyFont="1" applyBorder="1" applyAlignment="1">
      <alignment vertical="top"/>
    </xf>
    <xf numFmtId="0" fontId="71" fillId="0" borderId="10" xfId="0" applyFont="1" applyBorder="1" applyAlignment="1">
      <alignment horizontal="center" vertical="top"/>
    </xf>
    <xf numFmtId="0" fontId="71" fillId="36" borderId="6" xfId="1" applyFont="1" applyFill="1" applyBorder="1" applyAlignment="1">
      <alignment horizontal="left" vertical="top" wrapText="1"/>
    </xf>
    <xf numFmtId="0" fontId="71" fillId="36" borderId="7" xfId="0" applyFont="1" applyFill="1" applyBorder="1" applyAlignment="1">
      <alignment horizontal="center" vertical="top" wrapText="1"/>
    </xf>
    <xf numFmtId="0" fontId="71" fillId="36" borderId="1" xfId="0" applyFont="1" applyFill="1" applyBorder="1" applyAlignment="1">
      <alignment horizontal="center" vertical="top" wrapText="1"/>
    </xf>
    <xf numFmtId="0" fontId="62" fillId="0" borderId="10" xfId="0" applyFont="1" applyBorder="1" applyAlignment="1">
      <alignment horizontal="left" vertical="top" wrapText="1"/>
    </xf>
    <xf numFmtId="0" fontId="62" fillId="0" borderId="10" xfId="0" applyFont="1" applyBorder="1" applyAlignment="1">
      <alignment horizontal="center" vertical="top" wrapText="1"/>
    </xf>
    <xf numFmtId="0" fontId="62" fillId="0" borderId="10" xfId="0" applyFont="1" applyBorder="1" applyAlignment="1">
      <alignment horizontal="center" vertical="top"/>
    </xf>
    <xf numFmtId="0" fontId="66" fillId="0" borderId="8" xfId="0" applyFont="1" applyBorder="1" applyAlignment="1">
      <alignment horizontal="center" vertical="top" wrapText="1"/>
    </xf>
    <xf numFmtId="0" fontId="62" fillId="0" borderId="16" xfId="0" applyFont="1" applyBorder="1" applyAlignment="1">
      <alignment horizontal="center" vertical="top" wrapText="1"/>
    </xf>
    <xf numFmtId="0" fontId="76" fillId="8" borderId="2" xfId="0" applyFont="1" applyFill="1" applyBorder="1" applyAlignment="1">
      <alignment horizontal="center" vertical="top"/>
    </xf>
    <xf numFmtId="0" fontId="71" fillId="0" borderId="2" xfId="0" applyFont="1" applyBorder="1" applyAlignment="1">
      <alignment horizontal="center" vertical="top" wrapText="1"/>
    </xf>
    <xf numFmtId="15" fontId="62" fillId="36" borderId="6" xfId="0" applyNumberFormat="1" applyFont="1" applyFill="1" applyBorder="1" applyAlignment="1">
      <alignment horizontal="center" vertical="top" wrapText="1"/>
    </xf>
    <xf numFmtId="0" fontId="62" fillId="36" borderId="6" xfId="0" applyFont="1" applyFill="1" applyBorder="1" applyAlignment="1">
      <alignment horizontal="center" vertical="top" wrapText="1"/>
    </xf>
    <xf numFmtId="0" fontId="71" fillId="36" borderId="6" xfId="0" applyFont="1" applyFill="1" applyBorder="1" applyAlignment="1">
      <alignment vertical="top" wrapText="1"/>
    </xf>
    <xf numFmtId="0" fontId="71" fillId="36" borderId="6" xfId="0" applyFont="1" applyFill="1" applyBorder="1" applyAlignment="1">
      <alignment horizontal="left" vertical="top"/>
    </xf>
    <xf numFmtId="0" fontId="71" fillId="36" borderId="6" xfId="0" applyFont="1" applyFill="1" applyBorder="1" applyAlignment="1">
      <alignment horizontal="center" vertical="top"/>
    </xf>
    <xf numFmtId="0" fontId="73" fillId="36" borderId="1" xfId="1" applyFont="1" applyFill="1" applyBorder="1" applyAlignment="1">
      <alignment horizontal="center" vertical="top" wrapText="1"/>
    </xf>
    <xf numFmtId="0" fontId="73" fillId="36" borderId="8" xfId="1" applyFont="1" applyFill="1" applyBorder="1" applyAlignment="1">
      <alignment horizontal="center" vertical="top" wrapText="1"/>
    </xf>
    <xf numFmtId="0" fontId="73" fillId="36" borderId="6" xfId="1" applyFont="1" applyFill="1" applyBorder="1" applyAlignment="1">
      <alignment horizontal="center" vertical="top" wrapText="1"/>
    </xf>
    <xf numFmtId="0" fontId="74" fillId="6" borderId="6" xfId="1" applyFont="1" applyFill="1" applyBorder="1" applyAlignment="1">
      <alignment horizontal="center" vertical="center" wrapText="1"/>
    </xf>
    <xf numFmtId="0" fontId="71" fillId="36" borderId="6" xfId="1" applyFont="1" applyFill="1" applyBorder="1" applyAlignment="1">
      <alignment horizontal="center" vertical="top" wrapText="1"/>
    </xf>
    <xf numFmtId="0" fontId="71" fillId="0" borderId="2" xfId="0" applyFont="1" applyBorder="1" applyAlignment="1">
      <alignment horizontal="center" vertical="top"/>
    </xf>
    <xf numFmtId="0" fontId="66" fillId="0" borderId="0" xfId="0" applyFont="1" applyAlignment="1">
      <alignment horizontal="center" vertical="top"/>
    </xf>
    <xf numFmtId="0" fontId="72" fillId="0" borderId="0" xfId="0" applyFont="1" applyAlignment="1">
      <alignment vertical="top"/>
    </xf>
    <xf numFmtId="16" fontId="62" fillId="0" borderId="12" xfId="0" applyNumberFormat="1" applyFont="1" applyBorder="1" applyAlignment="1">
      <alignment horizontal="center" vertical="top" wrapText="1"/>
    </xf>
    <xf numFmtId="0" fontId="62" fillId="0" borderId="3" xfId="0" applyFont="1" applyBorder="1" applyAlignment="1">
      <alignment horizontal="center" vertical="top" wrapText="1"/>
    </xf>
    <xf numFmtId="0" fontId="62" fillId="0" borderId="18" xfId="0" applyFont="1" applyBorder="1" applyAlignment="1">
      <alignment horizontal="left" vertical="top" wrapText="1"/>
    </xf>
    <xf numFmtId="17" fontId="62" fillId="0" borderId="12" xfId="0" applyNumberFormat="1" applyFont="1" applyBorder="1" applyAlignment="1">
      <alignment horizontal="center" vertical="top" wrapText="1"/>
    </xf>
    <xf numFmtId="0" fontId="62" fillId="17" borderId="10" xfId="0" applyFont="1" applyFill="1" applyBorder="1" applyAlignment="1">
      <alignment horizontal="left" vertical="top" wrapText="1"/>
    </xf>
    <xf numFmtId="0" fontId="62" fillId="17" borderId="10" xfId="0" applyFont="1" applyFill="1" applyBorder="1" applyAlignment="1">
      <alignment horizontal="center" vertical="top" wrapText="1"/>
    </xf>
    <xf numFmtId="15" fontId="62" fillId="0" borderId="10" xfId="0" applyNumberFormat="1" applyFont="1" applyBorder="1" applyAlignment="1">
      <alignment horizontal="center" vertical="top" wrapText="1"/>
    </xf>
    <xf numFmtId="0" fontId="62" fillId="35" borderId="10" xfId="0" applyFont="1" applyFill="1" applyBorder="1" applyAlignment="1">
      <alignment horizontal="center" vertical="top" wrapText="1"/>
    </xf>
    <xf numFmtId="0" fontId="62" fillId="14" borderId="10" xfId="0" applyFont="1" applyFill="1" applyBorder="1" applyAlignment="1">
      <alignment horizontal="center" vertical="top" wrapText="1"/>
    </xf>
    <xf numFmtId="15" fontId="62" fillId="35" borderId="10" xfId="0" applyNumberFormat="1" applyFont="1" applyFill="1" applyBorder="1" applyAlignment="1">
      <alignment horizontal="center" vertical="top" wrapText="1"/>
    </xf>
    <xf numFmtId="0" fontId="62" fillId="0" borderId="10" xfId="0" applyFont="1" applyBorder="1" applyAlignment="1">
      <alignment vertical="top" wrapText="1"/>
    </xf>
    <xf numFmtId="0" fontId="71" fillId="0" borderId="3" xfId="0" applyFont="1" applyBorder="1" applyAlignment="1">
      <alignment horizontal="left" vertical="top" wrapText="1"/>
    </xf>
    <xf numFmtId="0" fontId="71" fillId="0" borderId="6" xfId="0" applyFont="1" applyBorder="1" applyAlignment="1">
      <alignment horizontal="left" vertical="top" wrapText="1"/>
    </xf>
    <xf numFmtId="0" fontId="75" fillId="0" borderId="6" xfId="0" applyFont="1" applyBorder="1" applyAlignment="1">
      <alignment horizontal="left" vertical="top" wrapText="1"/>
    </xf>
    <xf numFmtId="15" fontId="62" fillId="0" borderId="6" xfId="2" applyNumberFormat="1" applyFont="1" applyFill="1" applyBorder="1" applyAlignment="1">
      <alignment horizontal="center" vertical="top" wrapText="1"/>
    </xf>
    <xf numFmtId="15" fontId="71" fillId="0" borderId="3" xfId="0" applyNumberFormat="1" applyFont="1" applyBorder="1" applyAlignment="1">
      <alignment horizontal="center" vertical="top" wrapText="1"/>
    </xf>
    <xf numFmtId="15" fontId="71" fillId="0" borderId="6" xfId="2" applyNumberFormat="1" applyFont="1" applyFill="1" applyBorder="1" applyAlignment="1">
      <alignment horizontal="center" vertical="top" wrapText="1"/>
    </xf>
    <xf numFmtId="15" fontId="82" fillId="0" borderId="6" xfId="5" applyNumberFormat="1" applyFont="1" applyFill="1" applyBorder="1" applyAlignment="1">
      <alignment horizontal="center" vertical="top" wrapText="1"/>
    </xf>
    <xf numFmtId="15" fontId="62" fillId="0" borderId="6" xfId="5" applyNumberFormat="1" applyFont="1" applyFill="1" applyBorder="1" applyAlignment="1">
      <alignment horizontal="center" vertical="top" wrapText="1"/>
    </xf>
    <xf numFmtId="15" fontId="71" fillId="0" borderId="6" xfId="2" quotePrefix="1" applyNumberFormat="1" applyFont="1" applyFill="1" applyBorder="1" applyAlignment="1">
      <alignment horizontal="center" vertical="top" wrapText="1"/>
    </xf>
    <xf numFmtId="0" fontId="62" fillId="36" borderId="6" xfId="0" applyFont="1" applyFill="1" applyBorder="1" applyAlignment="1">
      <alignment horizontal="left" vertical="top" wrapText="1"/>
    </xf>
    <xf numFmtId="0" fontId="62" fillId="36" borderId="7" xfId="0" applyFont="1" applyFill="1" applyBorder="1" applyAlignment="1">
      <alignment horizontal="center" vertical="top" wrapText="1"/>
    </xf>
    <xf numFmtId="0" fontId="62" fillId="36" borderId="1" xfId="0" applyFont="1" applyFill="1" applyBorder="1" applyAlignment="1">
      <alignment horizontal="center" vertical="top" wrapText="1"/>
    </xf>
    <xf numFmtId="0" fontId="71" fillId="36" borderId="16" xfId="0" applyFont="1" applyFill="1" applyBorder="1" applyAlignment="1">
      <alignment horizontal="center" vertical="top" wrapText="1"/>
    </xf>
    <xf numFmtId="0" fontId="71" fillId="36" borderId="5" xfId="0" applyFont="1" applyFill="1" applyBorder="1" applyAlignment="1">
      <alignment horizontal="center" vertical="top" wrapText="1"/>
    </xf>
    <xf numFmtId="15" fontId="62" fillId="0" borderId="6" xfId="1" quotePrefix="1" applyNumberFormat="1" applyFont="1" applyFill="1" applyBorder="1" applyAlignment="1">
      <alignment horizontal="center" vertical="top" wrapText="1"/>
    </xf>
    <xf numFmtId="0" fontId="84" fillId="0" borderId="0" xfId="0" applyFont="1" applyAlignment="1">
      <alignment horizontal="left" vertical="top"/>
    </xf>
    <xf numFmtId="15" fontId="73" fillId="36" borderId="0" xfId="1" applyNumberFormat="1" applyFont="1" applyFill="1" applyBorder="1" applyAlignment="1">
      <alignment horizontal="center" vertical="top" wrapText="1"/>
    </xf>
    <xf numFmtId="15" fontId="73" fillId="36" borderId="10" xfId="1" applyNumberFormat="1" applyFont="1" applyFill="1" applyBorder="1" applyAlignment="1">
      <alignment horizontal="center" vertical="top" wrapText="1"/>
    </xf>
    <xf numFmtId="15" fontId="73" fillId="36" borderId="16" xfId="1" applyNumberFormat="1" applyFont="1" applyFill="1" applyBorder="1" applyAlignment="1">
      <alignment horizontal="center" vertical="top" wrapText="1"/>
    </xf>
    <xf numFmtId="0" fontId="73" fillId="36" borderId="16" xfId="1" applyFont="1" applyFill="1" applyBorder="1" applyAlignment="1">
      <alignment horizontal="left" vertical="top" wrapText="1"/>
    </xf>
    <xf numFmtId="0" fontId="73" fillId="36" borderId="5" xfId="0" applyFont="1" applyFill="1" applyBorder="1" applyAlignment="1">
      <alignment vertical="top" wrapText="1"/>
    </xf>
    <xf numFmtId="14" fontId="73" fillId="36" borderId="5" xfId="0" applyNumberFormat="1" applyFont="1" applyFill="1" applyBorder="1" applyAlignment="1">
      <alignment vertical="top" wrapText="1"/>
    </xf>
    <xf numFmtId="0" fontId="73" fillId="36" borderId="5" xfId="0" applyFont="1" applyFill="1" applyBorder="1" applyAlignment="1">
      <alignment horizontal="center" vertical="top"/>
    </xf>
    <xf numFmtId="0" fontId="73" fillId="36" borderId="5" xfId="0" applyFont="1" applyFill="1" applyBorder="1" applyAlignment="1">
      <alignment horizontal="center" vertical="top" wrapText="1"/>
    </xf>
    <xf numFmtId="0" fontId="73" fillId="36" borderId="30" xfId="0" applyFont="1" applyFill="1" applyBorder="1" applyAlignment="1">
      <alignment vertical="top" wrapText="1"/>
    </xf>
    <xf numFmtId="0" fontId="62" fillId="0" borderId="2" xfId="0" applyFont="1" applyBorder="1" applyAlignment="1">
      <alignment horizontal="center" vertical="top" wrapText="1"/>
    </xf>
    <xf numFmtId="0" fontId="65" fillId="25" borderId="18" xfId="0" applyFont="1" applyFill="1" applyBorder="1" applyAlignment="1">
      <alignment horizontal="center" vertical="center" wrapText="1"/>
    </xf>
    <xf numFmtId="0" fontId="71" fillId="36" borderId="4" xfId="0" applyFont="1" applyFill="1" applyBorder="1" applyAlignment="1">
      <alignment horizontal="center" vertical="top" wrapText="1"/>
    </xf>
    <xf numFmtId="0" fontId="76" fillId="8" borderId="0" xfId="0" applyFont="1" applyFill="1" applyAlignment="1">
      <alignment horizontal="center" vertical="top" wrapText="1"/>
    </xf>
    <xf numFmtId="0" fontId="71" fillId="0" borderId="0" xfId="0" applyFont="1" applyAlignment="1">
      <alignment horizontal="center" vertical="top" wrapText="1"/>
    </xf>
    <xf numFmtId="0" fontId="71" fillId="36" borderId="43" xfId="0" applyFont="1" applyFill="1" applyBorder="1" applyAlignment="1">
      <alignment horizontal="center" vertical="top" wrapText="1"/>
    </xf>
    <xf numFmtId="15" fontId="51" fillId="36" borderId="3" xfId="1" applyNumberFormat="1" applyFont="1" applyFill="1" applyBorder="1" applyAlignment="1">
      <alignment horizontal="center" vertical="top" wrapText="1"/>
    </xf>
    <xf numFmtId="0" fontId="62" fillId="0" borderId="31" xfId="0" applyFont="1" applyBorder="1" applyAlignment="1">
      <alignment horizontal="center" vertical="top" wrapText="1"/>
    </xf>
    <xf numFmtId="0" fontId="62" fillId="0" borderId="30" xfId="0" applyFont="1" applyBorder="1" applyAlignment="1">
      <alignment horizontal="center" vertical="top" wrapText="1"/>
    </xf>
    <xf numFmtId="0" fontId="45" fillId="0" borderId="3" xfId="0" applyFont="1" applyBorder="1" applyAlignment="1">
      <alignment horizontal="center" vertical="top"/>
    </xf>
    <xf numFmtId="0" fontId="62" fillId="0" borderId="4" xfId="0" applyFont="1" applyBorder="1" applyAlignment="1">
      <alignment horizontal="center" vertical="top" wrapText="1"/>
    </xf>
    <xf numFmtId="0" fontId="66" fillId="0" borderId="6" xfId="0" applyFont="1" applyBorder="1" applyAlignment="1">
      <alignment horizontal="left" vertical="top" wrapText="1"/>
    </xf>
    <xf numFmtId="14" fontId="62" fillId="0" borderId="6" xfId="0" applyNumberFormat="1" applyFont="1" applyBorder="1" applyAlignment="1">
      <alignment horizontal="center" vertical="top" wrapText="1"/>
    </xf>
    <xf numFmtId="14" fontId="45" fillId="0" borderId="6" xfId="0" applyNumberFormat="1" applyFont="1" applyBorder="1" applyAlignment="1">
      <alignment horizontal="center" vertical="top" wrapText="1"/>
    </xf>
    <xf numFmtId="15" fontId="62" fillId="36" borderId="6" xfId="1" applyNumberFormat="1" applyFont="1" applyFill="1" applyBorder="1" applyAlignment="1">
      <alignment horizontal="center" vertical="top" wrapText="1"/>
    </xf>
    <xf numFmtId="15" fontId="82" fillId="36" borderId="6" xfId="5" applyNumberFormat="1" applyFont="1" applyFill="1" applyBorder="1" applyAlignment="1">
      <alignment horizontal="center" vertical="top" wrapText="1"/>
    </xf>
    <xf numFmtId="0" fontId="62" fillId="0" borderId="15" xfId="0" applyFont="1" applyBorder="1" applyAlignment="1">
      <alignment horizontal="center" vertical="top" wrapText="1"/>
    </xf>
    <xf numFmtId="0" fontId="71" fillId="0" borderId="1" xfId="0" applyFont="1" applyBorder="1" applyAlignment="1">
      <alignment horizontal="center" vertical="top"/>
    </xf>
    <xf numFmtId="0" fontId="71" fillId="0" borderId="1" xfId="0" applyFont="1" applyBorder="1" applyAlignment="1">
      <alignment horizontal="center" vertical="top" wrapText="1"/>
    </xf>
    <xf numFmtId="0" fontId="47" fillId="23" borderId="2" xfId="0" applyFont="1" applyFill="1" applyBorder="1" applyAlignment="1">
      <alignment horizontal="center" wrapText="1"/>
    </xf>
    <xf numFmtId="0" fontId="47" fillId="23" borderId="27" xfId="0" applyFont="1" applyFill="1" applyBorder="1" applyAlignment="1">
      <alignment horizontal="center" wrapText="1"/>
    </xf>
    <xf numFmtId="0" fontId="47" fillId="23" borderId="33" xfId="0" applyFont="1" applyFill="1" applyBorder="1" applyAlignment="1">
      <alignment horizontal="center" wrapText="1"/>
    </xf>
    <xf numFmtId="0" fontId="77" fillId="20" borderId="27" xfId="0" applyFont="1" applyFill="1" applyBorder="1" applyAlignment="1">
      <alignment horizontal="center" wrapText="1"/>
    </xf>
    <xf numFmtId="0" fontId="77" fillId="20" borderId="33" xfId="0" applyFont="1" applyFill="1" applyBorder="1" applyAlignment="1">
      <alignment horizontal="center" wrapText="1"/>
    </xf>
    <xf numFmtId="0" fontId="76" fillId="8" borderId="2" xfId="0" applyFont="1" applyFill="1" applyBorder="1" applyAlignment="1">
      <alignment horizontal="center" vertical="top"/>
    </xf>
    <xf numFmtId="0" fontId="76" fillId="8" borderId="3" xfId="0" applyFont="1" applyFill="1" applyBorder="1" applyAlignment="1">
      <alignment horizontal="center" vertical="top"/>
    </xf>
    <xf numFmtId="0" fontId="71" fillId="0" borderId="2" xfId="0" applyFont="1" applyBorder="1" applyAlignment="1">
      <alignment horizontal="center" vertical="top" wrapText="1"/>
    </xf>
    <xf numFmtId="0" fontId="71" fillId="0" borderId="3" xfId="0" applyFont="1" applyBorder="1" applyAlignment="1">
      <alignment horizontal="center" vertical="top" wrapText="1"/>
    </xf>
    <xf numFmtId="0" fontId="62" fillId="0" borderId="2" xfId="0" applyFont="1" applyBorder="1" applyAlignment="1">
      <alignment horizontal="center" vertical="top" wrapText="1"/>
    </xf>
    <xf numFmtId="0" fontId="38" fillId="23" borderId="2" xfId="0" applyFont="1" applyFill="1" applyBorder="1" applyAlignment="1">
      <alignment horizontal="center" wrapText="1"/>
    </xf>
    <xf numFmtId="0" fontId="38" fillId="23" borderId="27" xfId="0" applyFont="1" applyFill="1" applyBorder="1" applyAlignment="1">
      <alignment horizontal="center" wrapText="1"/>
    </xf>
    <xf numFmtId="0" fontId="38" fillId="23" borderId="33" xfId="0" applyFont="1" applyFill="1" applyBorder="1" applyAlignment="1">
      <alignment horizontal="center" wrapText="1"/>
    </xf>
    <xf numFmtId="0" fontId="38" fillId="20" borderId="27" xfId="0" applyFont="1" applyFill="1" applyBorder="1" applyAlignment="1">
      <alignment horizontal="center" wrapText="1"/>
    </xf>
    <xf numFmtId="0" fontId="38" fillId="20" borderId="33" xfId="0" applyFont="1" applyFill="1" applyBorder="1" applyAlignment="1">
      <alignment horizontal="center" wrapText="1"/>
    </xf>
    <xf numFmtId="0" fontId="49" fillId="0" borderId="1" xfId="0" applyFont="1" applyBorder="1" applyAlignment="1">
      <alignment horizontal="center" vertical="center"/>
    </xf>
    <xf numFmtId="0" fontId="49" fillId="0" borderId="1" xfId="0" applyFont="1" applyBorder="1" applyAlignment="1">
      <alignment horizontal="center" vertical="center" wrapText="1"/>
    </xf>
    <xf numFmtId="0" fontId="47" fillId="20" borderId="27" xfId="0" applyFont="1" applyFill="1" applyBorder="1" applyAlignment="1">
      <alignment horizontal="center" wrapText="1"/>
    </xf>
    <xf numFmtId="0" fontId="47" fillId="20" borderId="33" xfId="0" applyFont="1" applyFill="1" applyBorder="1" applyAlignment="1">
      <alignment horizontal="center" wrapText="1"/>
    </xf>
    <xf numFmtId="0" fontId="56" fillId="8" borderId="1" xfId="0" applyFont="1" applyFill="1" applyBorder="1" applyAlignment="1">
      <alignment horizontal="center" vertical="center"/>
    </xf>
    <xf numFmtId="0" fontId="5" fillId="0" borderId="2" xfId="0" applyFont="1" applyBorder="1" applyAlignment="1">
      <alignment horizontal="center" vertical="top" wrapText="1"/>
    </xf>
    <xf numFmtId="0" fontId="5" fillId="0" borderId="27" xfId="0" applyFont="1" applyBorder="1" applyAlignment="1">
      <alignment horizontal="center" vertical="top" wrapText="1"/>
    </xf>
    <xf numFmtId="0" fontId="5" fillId="0" borderId="33" xfId="0" applyFont="1" applyBorder="1" applyAlignment="1">
      <alignment horizontal="center" vertical="top" wrapText="1"/>
    </xf>
    <xf numFmtId="0" fontId="18" fillId="20" borderId="27" xfId="0" applyFont="1" applyFill="1" applyBorder="1" applyAlignment="1">
      <alignment wrapText="1"/>
    </xf>
    <xf numFmtId="0" fontId="18" fillId="20" borderId="33" xfId="0" applyFont="1" applyFill="1" applyBorder="1" applyAlignment="1">
      <alignment wrapText="1"/>
    </xf>
    <xf numFmtId="0" fontId="18" fillId="23" borderId="2" xfId="0" applyFont="1" applyFill="1" applyBorder="1" applyAlignment="1">
      <alignment horizontal="center" wrapText="1"/>
    </xf>
    <xf numFmtId="0" fontId="18" fillId="23" borderId="27" xfId="0" applyFont="1" applyFill="1" applyBorder="1" applyAlignment="1">
      <alignment horizontal="center" wrapText="1"/>
    </xf>
    <xf numFmtId="0" fontId="18" fillId="23" borderId="33" xfId="0" applyFont="1" applyFill="1" applyBorder="1" applyAlignment="1">
      <alignment horizontal="center" wrapText="1"/>
    </xf>
    <xf numFmtId="0" fontId="18" fillId="20" borderId="27" xfId="0" applyFont="1" applyFill="1" applyBorder="1" applyAlignment="1">
      <alignment horizontal="center" wrapText="1"/>
    </xf>
    <xf numFmtId="0" fontId="18" fillId="20" borderId="33" xfId="0" applyFont="1" applyFill="1" applyBorder="1" applyAlignment="1">
      <alignment horizontal="center" wrapText="1"/>
    </xf>
    <xf numFmtId="0" fontId="18" fillId="29" borderId="27" xfId="0" applyFont="1" applyFill="1" applyBorder="1" applyAlignment="1">
      <alignment horizontal="center" wrapText="1"/>
    </xf>
    <xf numFmtId="0" fontId="18" fillId="29" borderId="33" xfId="0" applyFont="1" applyFill="1" applyBorder="1" applyAlignment="1">
      <alignment horizontal="center" wrapText="1"/>
    </xf>
    <xf numFmtId="0" fontId="0" fillId="0" borderId="15" xfId="0" applyBorder="1" applyAlignment="1">
      <alignment horizontal="center" wrapText="1"/>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4" xfId="0" applyBorder="1" applyAlignment="1">
      <alignment horizontal="center"/>
    </xf>
    <xf numFmtId="0" fontId="0" fillId="0" borderId="12" xfId="0" applyBorder="1" applyAlignment="1">
      <alignment horizontal="center"/>
    </xf>
  </cellXfs>
  <cellStyles count="6">
    <cellStyle name="Bad" xfId="2" builtinId="27"/>
    <cellStyle name="Good" xfId="1" builtinId="26"/>
    <cellStyle name="Hyperlink" xfId="3" builtinId="8"/>
    <cellStyle name="Input" xfId="5" builtinId="20"/>
    <cellStyle name="Neutral" xfId="4" builtinId="28"/>
    <cellStyle name="Normal" xfId="0" builtinId="0"/>
  </cellStyles>
  <dxfs count="0"/>
  <tableStyles count="0" defaultTableStyle="TableStyleMedium2" defaultPivotStyle="PivotStyleLight16"/>
  <colors>
    <mruColors>
      <color rgb="FFFFCC99"/>
      <color rgb="FFC6EFCE"/>
      <color rgb="FFC0E6F5"/>
      <color rgb="FFFFEB9C"/>
      <color rgb="FFFFC7CE"/>
      <color rgb="FFFF7769"/>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eremy Wu" id="{32E39D9D-EAB1-4A68-B907-C305796DA289}" userId="S::wujerem@mfcgd.com::fb266db5-0672-4764-923c-6583aadb927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6-02-11T09:27:03.64" personId="{32E39D9D-EAB1-4A68-B907-C305796DA289}" id="{9A72E27A-C7A2-4E73-A038-A5D2C7449A85}">
    <text>Qwen3-Max needed as well</text>
  </threadedComment>
  <threadedComment ref="H27" dT="2026-02-11T09:29:08.65" personId="{32E39D9D-EAB1-4A68-B907-C305796DA289}" id="{2EF8B408-BEE9-4502-A83E-C938439BF178}">
    <text>AnalyticDB for PostgreSQL</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8" Type="http://schemas.openxmlformats.org/officeDocument/2006/relationships/hyperlink" Target="https://manulife.service-now.com/nav_to.do?uri=sc_req_item.do?sys_id=RITM08699612" TargetMode="External"/><Relationship Id="rId13" Type="http://schemas.openxmlformats.org/officeDocument/2006/relationships/hyperlink" Target="https://manulife.service-now.com/nav_to.do?uri=sc_req_item.do?sys_id=RITM08893390" TargetMode="External"/><Relationship Id="rId3" Type="http://schemas.openxmlformats.org/officeDocument/2006/relationships/hyperlink" Target="https://manulife.service-now.com/nav_to.do?uri=sc_req_item.do?sys_id=RITM08728726" TargetMode="External"/><Relationship Id="rId7" Type="http://schemas.openxmlformats.org/officeDocument/2006/relationships/hyperlink" Target="https://manulife.service-now.com/nav_to.do?uri=sc_req_item.do?sys_id=RITM08699618" TargetMode="External"/><Relationship Id="rId12" Type="http://schemas.openxmlformats.org/officeDocument/2006/relationships/hyperlink" Target="https://manulife.service-now.com/nav_to.do?uri=sc_req_item.do?sys_id=RITM08894540" TargetMode="External"/><Relationship Id="rId2" Type="http://schemas.openxmlformats.org/officeDocument/2006/relationships/hyperlink" Target="https://manulife.service-now.com/nav_to.do?uri=sc_req_item.do?sys_id=RITM08728706" TargetMode="External"/><Relationship Id="rId1" Type="http://schemas.openxmlformats.org/officeDocument/2006/relationships/hyperlink" Target="https://manulife.service-now.com/nav_to.do?uri=sc_req_item.do?sys_id=RITM08837863" TargetMode="External"/><Relationship Id="rId6" Type="http://schemas.openxmlformats.org/officeDocument/2006/relationships/hyperlink" Target="https://manulife.service-now.com/nav_to.do?uri=sc_req_item.do?sys_id=RITM08699624" TargetMode="External"/><Relationship Id="rId11" Type="http://schemas.openxmlformats.org/officeDocument/2006/relationships/hyperlink" Target="https://manulife.service-now.com/nav_to.do?uri=sc_req_item.do?sys_id=RITM08894853" TargetMode="External"/><Relationship Id="rId5" Type="http://schemas.openxmlformats.org/officeDocument/2006/relationships/hyperlink" Target="https://manulife.service-now.com/nav_to.do?uri=sc_req_item.do?sys_id=RITM08728733" TargetMode="External"/><Relationship Id="rId10" Type="http://schemas.openxmlformats.org/officeDocument/2006/relationships/hyperlink" Target="https://manulife.service-now.com/nav_to.do?uri=sc_req_item.do?sys_id=RITM08894845" TargetMode="External"/><Relationship Id="rId4" Type="http://schemas.openxmlformats.org/officeDocument/2006/relationships/hyperlink" Target="https://manulife.service-now.com/nav_to.do?uri=sc_req_item.do?sys_id=RITM08699620" TargetMode="External"/><Relationship Id="rId9" Type="http://schemas.openxmlformats.org/officeDocument/2006/relationships/hyperlink" Target="https://manulife.service-now.com/nav_to.do?uri=sc_req_item.do?sys_id=RITM086996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5C9E-2BBC-4C11-8D6A-E0206EFB2903}">
  <sheetPr filterMode="1"/>
  <dimension ref="A1:AO58"/>
  <sheetViews>
    <sheetView tabSelected="1" zoomScaleNormal="100" workbookViewId="0">
      <pane xSplit="2" ySplit="3" topLeftCell="C4" activePane="bottomRight" state="frozen"/>
      <selection pane="topRight" activeCell="D1" sqref="D1"/>
      <selection pane="bottomLeft" activeCell="A4" sqref="A4"/>
      <selection pane="bottomRight" activeCell="A13" sqref="A13:XFD13"/>
    </sheetView>
  </sheetViews>
  <sheetFormatPr baseColWidth="10" defaultColWidth="15.6640625" defaultRowHeight="15" customHeight="1" outlineLevelCol="1" x14ac:dyDescent="0.2"/>
  <cols>
    <col min="1" max="1" width="5.6640625" style="629" customWidth="1"/>
    <col min="2" max="2" width="40.1640625" style="637" customWidth="1"/>
    <col min="3" max="4" width="15.6640625" style="629" customWidth="1"/>
    <col min="5" max="6" width="15.6640625" style="629" bestFit="1" customWidth="1"/>
    <col min="7" max="8" width="15.6640625" style="629" customWidth="1"/>
    <col min="9" max="15" width="15.6640625" style="382" hidden="1" customWidth="1" outlineLevel="1"/>
    <col min="16" max="16" width="15.6640625" style="643" customWidth="1" collapsed="1"/>
    <col min="17" max="23" width="15.6640625" style="643" customWidth="1" outlineLevel="1"/>
    <col min="24" max="25" width="15.6640625" style="643" bestFit="1" customWidth="1"/>
    <col min="26" max="26" width="31.33203125" style="637" customWidth="1" outlineLevel="1"/>
    <col min="27" max="30" width="15.6640625" style="642" bestFit="1" customWidth="1" outlineLevel="1"/>
    <col min="31" max="31" width="15.6640625" style="643" outlineLevel="1"/>
    <col min="32" max="37" width="15.6640625" style="643"/>
    <col min="38" max="38" width="15.6640625" style="643" bestFit="1" customWidth="1"/>
    <col min="39" max="39" width="15.6640625" style="642" bestFit="1" customWidth="1"/>
    <col min="40" max="16384" width="15.6640625" style="642"/>
  </cols>
  <sheetData>
    <row r="1" spans="1:41" ht="15" customHeight="1" x14ac:dyDescent="0.2">
      <c r="A1" s="586"/>
      <c r="B1" s="796" t="s">
        <v>0</v>
      </c>
      <c r="C1" s="733"/>
      <c r="D1" s="733"/>
      <c r="E1" s="586"/>
      <c r="F1" s="586"/>
      <c r="G1" s="586"/>
      <c r="H1" s="586"/>
      <c r="I1" s="825" t="s">
        <v>1</v>
      </c>
      <c r="J1" s="826"/>
      <c r="K1" s="826"/>
      <c r="L1" s="826"/>
      <c r="M1" s="826"/>
      <c r="N1" s="826"/>
      <c r="O1" s="827"/>
      <c r="P1" s="638" t="s">
        <v>2</v>
      </c>
      <c r="Q1" s="638"/>
      <c r="R1" s="638"/>
      <c r="S1" s="638"/>
      <c r="T1" s="638"/>
      <c r="U1" s="638"/>
      <c r="V1" s="639"/>
      <c r="W1" s="640"/>
      <c r="X1" s="828" t="s">
        <v>3</v>
      </c>
      <c r="Y1" s="829"/>
      <c r="Z1" s="641" t="s">
        <v>4</v>
      </c>
    </row>
    <row r="2" spans="1:41" ht="50.25" customHeight="1" x14ac:dyDescent="0.2">
      <c r="A2" s="587" t="s">
        <v>5</v>
      </c>
      <c r="B2" s="588" t="s">
        <v>6</v>
      </c>
      <c r="C2" s="589" t="s">
        <v>7</v>
      </c>
      <c r="D2" s="589" t="s">
        <v>8</v>
      </c>
      <c r="E2" s="589" t="s">
        <v>9</v>
      </c>
      <c r="F2" s="589" t="s">
        <v>10</v>
      </c>
      <c r="G2" s="590" t="s">
        <v>11</v>
      </c>
      <c r="H2" s="807" t="s">
        <v>12</v>
      </c>
      <c r="I2" s="515" t="s">
        <v>13</v>
      </c>
      <c r="J2" s="515" t="s">
        <v>14</v>
      </c>
      <c r="K2" s="515" t="s">
        <v>15</v>
      </c>
      <c r="L2" s="515" t="s">
        <v>16</v>
      </c>
      <c r="M2" s="515" t="s">
        <v>17</v>
      </c>
      <c r="N2" s="515" t="s">
        <v>18</v>
      </c>
      <c r="O2" s="515" t="s">
        <v>19</v>
      </c>
      <c r="P2" s="644" t="s">
        <v>20</v>
      </c>
      <c r="Q2" s="644" t="s">
        <v>21</v>
      </c>
      <c r="R2" s="644" t="s">
        <v>22</v>
      </c>
      <c r="S2" s="644" t="s">
        <v>23</v>
      </c>
      <c r="T2" s="644" t="s">
        <v>24</v>
      </c>
      <c r="U2" s="645" t="s">
        <v>25</v>
      </c>
      <c r="V2" s="646" t="s">
        <v>26</v>
      </c>
      <c r="W2" s="644" t="s">
        <v>27</v>
      </c>
      <c r="X2" s="644" t="s">
        <v>28</v>
      </c>
      <c r="Y2" s="644" t="s">
        <v>29</v>
      </c>
      <c r="Z2" s="645" t="s">
        <v>30</v>
      </c>
      <c r="AA2" s="647" t="s">
        <v>31</v>
      </c>
      <c r="AB2" s="648" t="s">
        <v>32</v>
      </c>
      <c r="AC2" s="649" t="s">
        <v>33</v>
      </c>
      <c r="AD2" s="649" t="s">
        <v>34</v>
      </c>
      <c r="AE2" s="650" t="s">
        <v>35</v>
      </c>
      <c r="AF2" s="650" t="s">
        <v>36</v>
      </c>
      <c r="AG2" s="651" t="s">
        <v>37</v>
      </c>
      <c r="AH2" s="651" t="s">
        <v>38</v>
      </c>
      <c r="AI2" s="651" t="s">
        <v>39</v>
      </c>
      <c r="AJ2" s="651" t="s">
        <v>40</v>
      </c>
      <c r="AK2" s="651" t="s">
        <v>41</v>
      </c>
      <c r="AL2" s="651" t="s">
        <v>42</v>
      </c>
      <c r="AM2" s="652" t="s">
        <v>43</v>
      </c>
      <c r="AN2" s="653" t="s">
        <v>44</v>
      </c>
    </row>
    <row r="3" spans="1:41" s="661" customFormat="1" ht="45" customHeight="1" x14ac:dyDescent="0.2">
      <c r="A3" s="591">
        <v>1</v>
      </c>
      <c r="B3" s="592" t="s">
        <v>45</v>
      </c>
      <c r="C3" s="762"/>
      <c r="D3" s="762"/>
      <c r="E3" s="593" t="s">
        <v>46</v>
      </c>
      <c r="F3" s="594" t="s">
        <v>47</v>
      </c>
      <c r="G3" s="593" t="s">
        <v>48</v>
      </c>
      <c r="H3" s="593" t="s">
        <v>49</v>
      </c>
      <c r="I3" s="529" t="s">
        <v>50</v>
      </c>
      <c r="J3" s="529"/>
      <c r="K3" s="529" t="s">
        <v>50</v>
      </c>
      <c r="L3" s="530" t="s">
        <v>50</v>
      </c>
      <c r="M3" s="529" t="s">
        <v>50</v>
      </c>
      <c r="N3" s="529" t="s">
        <v>50</v>
      </c>
      <c r="O3" s="529" t="s">
        <v>50</v>
      </c>
      <c r="P3" s="654">
        <v>45853</v>
      </c>
      <c r="Q3" s="654">
        <v>45853</v>
      </c>
      <c r="R3" s="654">
        <v>45884</v>
      </c>
      <c r="S3" s="654">
        <v>45884</v>
      </c>
      <c r="T3" s="654">
        <v>45884</v>
      </c>
      <c r="U3" s="654">
        <v>45884</v>
      </c>
      <c r="V3" s="655">
        <v>45926</v>
      </c>
      <c r="W3" s="654">
        <v>45926</v>
      </c>
      <c r="X3" s="654">
        <v>45948</v>
      </c>
      <c r="Y3" s="654">
        <v>45963</v>
      </c>
      <c r="Z3" s="656" t="s">
        <v>51</v>
      </c>
      <c r="AA3" s="657"/>
      <c r="AB3" s="657"/>
      <c r="AC3" s="657"/>
      <c r="AD3" s="657"/>
      <c r="AE3" s="658"/>
      <c r="AF3" s="658"/>
      <c r="AG3" s="658"/>
      <c r="AH3" s="658"/>
      <c r="AI3" s="658"/>
      <c r="AJ3" s="658"/>
      <c r="AK3" s="658"/>
      <c r="AL3" s="658"/>
      <c r="AM3" s="659"/>
      <c r="AN3" s="660"/>
    </row>
    <row r="4" spans="1:41" s="661" customFormat="1" ht="45" customHeight="1" x14ac:dyDescent="0.2">
      <c r="A4" s="594">
        <v>2</v>
      </c>
      <c r="B4" s="592" t="s">
        <v>52</v>
      </c>
      <c r="C4" s="762"/>
      <c r="D4" s="762"/>
      <c r="E4" s="593" t="s">
        <v>53</v>
      </c>
      <c r="F4" s="594" t="s">
        <v>54</v>
      </c>
      <c r="G4" s="593" t="s">
        <v>55</v>
      </c>
      <c r="H4" s="593" t="s">
        <v>49</v>
      </c>
      <c r="I4" s="545" t="s">
        <v>50</v>
      </c>
      <c r="J4" s="545"/>
      <c r="K4" s="545" t="s">
        <v>50</v>
      </c>
      <c r="L4" s="546" t="s">
        <v>50</v>
      </c>
      <c r="M4" s="547" t="s">
        <v>50</v>
      </c>
      <c r="N4" s="547" t="s">
        <v>50</v>
      </c>
      <c r="O4" s="547" t="s">
        <v>50</v>
      </c>
      <c r="P4" s="655">
        <v>45853</v>
      </c>
      <c r="Q4" s="662">
        <v>45853</v>
      </c>
      <c r="R4" s="797">
        <v>45884</v>
      </c>
      <c r="S4" s="798">
        <v>45884</v>
      </c>
      <c r="T4" s="798">
        <v>45884</v>
      </c>
      <c r="U4" s="798">
        <v>45884</v>
      </c>
      <c r="V4" s="798">
        <v>45997</v>
      </c>
      <c r="W4" s="798">
        <v>45926</v>
      </c>
      <c r="X4" s="798">
        <v>46046</v>
      </c>
      <c r="Y4" s="799" t="s">
        <v>56</v>
      </c>
      <c r="Z4" s="800" t="s">
        <v>57</v>
      </c>
      <c r="AA4" s="801" t="s">
        <v>58</v>
      </c>
      <c r="AB4" s="802" t="s">
        <v>59</v>
      </c>
      <c r="AC4" s="802"/>
      <c r="AD4" s="802" t="s">
        <v>60</v>
      </c>
      <c r="AE4" s="803"/>
      <c r="AF4" s="803" t="s">
        <v>61</v>
      </c>
      <c r="AG4" s="804" t="s">
        <v>62</v>
      </c>
      <c r="AH4" s="804"/>
      <c r="AI4" s="668" t="s">
        <v>61</v>
      </c>
      <c r="AJ4" s="668"/>
      <c r="AK4" s="668" t="s">
        <v>61</v>
      </c>
      <c r="AL4" s="668" t="s">
        <v>61</v>
      </c>
      <c r="AM4" s="805" t="s">
        <v>63</v>
      </c>
      <c r="AN4" s="668" t="s">
        <v>64</v>
      </c>
    </row>
    <row r="5" spans="1:41" s="661" customFormat="1" ht="45" customHeight="1" x14ac:dyDescent="0.2">
      <c r="A5" s="596">
        <v>3</v>
      </c>
      <c r="B5" s="592" t="s">
        <v>65</v>
      </c>
      <c r="C5" s="762"/>
      <c r="D5" s="762"/>
      <c r="E5" s="593" t="s">
        <v>66</v>
      </c>
      <c r="F5" s="594" t="s">
        <v>67</v>
      </c>
      <c r="G5" s="593" t="s">
        <v>68</v>
      </c>
      <c r="H5" s="593" t="s">
        <v>49</v>
      </c>
      <c r="I5" s="529" t="s">
        <v>50</v>
      </c>
      <c r="J5" s="529"/>
      <c r="K5" s="531">
        <v>45915</v>
      </c>
      <c r="L5" s="530" t="s">
        <v>50</v>
      </c>
      <c r="M5" s="529" t="s">
        <v>50</v>
      </c>
      <c r="N5" s="529" t="s">
        <v>50</v>
      </c>
      <c r="O5" s="529" t="s">
        <v>50</v>
      </c>
      <c r="P5" s="662">
        <v>45915</v>
      </c>
      <c r="Q5" s="663">
        <v>45929</v>
      </c>
      <c r="R5" s="663">
        <v>45930</v>
      </c>
      <c r="S5" s="662">
        <v>45954</v>
      </c>
      <c r="T5" s="663">
        <v>45945</v>
      </c>
      <c r="U5" s="664">
        <v>45979</v>
      </c>
      <c r="V5" s="663">
        <v>45945</v>
      </c>
      <c r="W5" s="662">
        <v>45979</v>
      </c>
      <c r="X5" s="663">
        <v>46038</v>
      </c>
      <c r="Y5" s="662">
        <v>46045</v>
      </c>
      <c r="Z5" s="665" t="s">
        <v>69</v>
      </c>
      <c r="AA5" s="666" t="s">
        <v>70</v>
      </c>
      <c r="AB5" s="660"/>
      <c r="AC5" s="667" t="s">
        <v>71</v>
      </c>
      <c r="AD5" s="667" t="s">
        <v>72</v>
      </c>
      <c r="AE5" s="668"/>
      <c r="AF5" s="668" t="s">
        <v>73</v>
      </c>
      <c r="AG5" s="593" t="s">
        <v>74</v>
      </c>
      <c r="AH5" s="593"/>
      <c r="AI5" s="668" t="s">
        <v>61</v>
      </c>
      <c r="AJ5" s="668"/>
      <c r="AK5" s="668" t="s">
        <v>61</v>
      </c>
      <c r="AL5" s="668" t="s">
        <v>61</v>
      </c>
      <c r="AM5" s="669" t="s">
        <v>75</v>
      </c>
      <c r="AN5" s="668" t="s">
        <v>64</v>
      </c>
    </row>
    <row r="6" spans="1:41" s="661" customFormat="1" ht="45" customHeight="1" x14ac:dyDescent="0.2">
      <c r="A6" s="591">
        <v>4</v>
      </c>
      <c r="B6" s="597" t="s">
        <v>76</v>
      </c>
      <c r="C6" s="598"/>
      <c r="D6" s="598"/>
      <c r="E6" s="598" t="s">
        <v>77</v>
      </c>
      <c r="F6" s="599" t="s">
        <v>78</v>
      </c>
      <c r="G6" s="593" t="s">
        <v>79</v>
      </c>
      <c r="H6" s="593" t="s">
        <v>49</v>
      </c>
      <c r="I6" s="529" t="s">
        <v>50</v>
      </c>
      <c r="J6" s="529"/>
      <c r="K6" s="531">
        <v>45943</v>
      </c>
      <c r="L6" s="533" t="s">
        <v>4</v>
      </c>
      <c r="M6" s="533" t="s">
        <v>4</v>
      </c>
      <c r="N6" s="533" t="s">
        <v>4</v>
      </c>
      <c r="O6" s="534" t="s">
        <v>4</v>
      </c>
      <c r="P6" s="670">
        <v>45943</v>
      </c>
      <c r="Q6" s="671">
        <v>45968</v>
      </c>
      <c r="R6" s="670">
        <v>45961</v>
      </c>
      <c r="S6" s="671">
        <v>45968</v>
      </c>
      <c r="T6" s="670">
        <v>45961</v>
      </c>
      <c r="U6" s="671">
        <v>45983</v>
      </c>
      <c r="V6" s="670">
        <v>45991</v>
      </c>
      <c r="W6" s="671">
        <v>46006</v>
      </c>
      <c r="X6" s="671">
        <v>46039</v>
      </c>
      <c r="Y6" s="671">
        <v>46047</v>
      </c>
      <c r="Z6" s="672" t="s">
        <v>80</v>
      </c>
      <c r="AA6" s="673" t="s">
        <v>81</v>
      </c>
      <c r="AB6" s="673" t="s">
        <v>82</v>
      </c>
      <c r="AC6" s="673"/>
      <c r="AD6" s="673" t="s">
        <v>83</v>
      </c>
      <c r="AE6" s="674"/>
      <c r="AF6" s="674" t="s">
        <v>73</v>
      </c>
      <c r="AG6" s="598" t="s">
        <v>84</v>
      </c>
      <c r="AH6" s="598"/>
      <c r="AI6" s="674" t="s">
        <v>61</v>
      </c>
      <c r="AJ6" s="674"/>
      <c r="AK6" s="674" t="s">
        <v>73</v>
      </c>
      <c r="AL6" s="674" t="s">
        <v>73</v>
      </c>
      <c r="AM6" s="675" t="s">
        <v>75</v>
      </c>
      <c r="AN6" s="668" t="s">
        <v>64</v>
      </c>
    </row>
    <row r="7" spans="1:41" s="661" customFormat="1" ht="45" customHeight="1" x14ac:dyDescent="0.2">
      <c r="A7" s="593">
        <v>5</v>
      </c>
      <c r="B7" s="592" t="s">
        <v>85</v>
      </c>
      <c r="C7" s="762"/>
      <c r="D7" s="762"/>
      <c r="E7" s="593" t="s">
        <v>77</v>
      </c>
      <c r="F7" s="594" t="s">
        <v>86</v>
      </c>
      <c r="G7" s="593" t="s">
        <v>87</v>
      </c>
      <c r="H7" s="593" t="s">
        <v>49</v>
      </c>
      <c r="I7" s="531">
        <v>45868</v>
      </c>
      <c r="J7" s="531"/>
      <c r="K7" s="529" t="s">
        <v>88</v>
      </c>
      <c r="L7" s="530" t="s">
        <v>50</v>
      </c>
      <c r="M7" s="529" t="s">
        <v>50</v>
      </c>
      <c r="N7" s="529" t="s">
        <v>50</v>
      </c>
      <c r="O7" s="535" t="s">
        <v>50</v>
      </c>
      <c r="P7" s="676">
        <v>45915</v>
      </c>
      <c r="Q7" s="654">
        <v>45951</v>
      </c>
      <c r="R7" s="677">
        <v>45961</v>
      </c>
      <c r="S7" s="654">
        <v>45960</v>
      </c>
      <c r="T7" s="678">
        <v>45961</v>
      </c>
      <c r="U7" s="654">
        <v>45971</v>
      </c>
      <c r="V7" s="678">
        <v>45991</v>
      </c>
      <c r="W7" s="654">
        <v>46006</v>
      </c>
      <c r="X7" s="679">
        <v>45963</v>
      </c>
      <c r="Y7" s="654">
        <v>46025</v>
      </c>
      <c r="Z7" s="680" t="s">
        <v>89</v>
      </c>
      <c r="AA7" s="667" t="s">
        <v>90</v>
      </c>
      <c r="AB7" s="667" t="s">
        <v>91</v>
      </c>
      <c r="AC7" s="667" t="s">
        <v>92</v>
      </c>
      <c r="AD7" s="667" t="s">
        <v>93</v>
      </c>
      <c r="AE7" s="668"/>
      <c r="AF7" s="668" t="s">
        <v>61</v>
      </c>
      <c r="AG7" s="593" t="s">
        <v>94</v>
      </c>
      <c r="AH7" s="593"/>
      <c r="AI7" s="668" t="s">
        <v>61</v>
      </c>
      <c r="AJ7" s="674"/>
      <c r="AK7" s="674" t="s">
        <v>73</v>
      </c>
      <c r="AL7" s="674" t="s">
        <v>61</v>
      </c>
      <c r="AM7" s="675" t="s">
        <v>63</v>
      </c>
      <c r="AN7" s="668" t="s">
        <v>64</v>
      </c>
    </row>
    <row r="8" spans="1:41" s="637" customFormat="1" ht="46" customHeight="1" x14ac:dyDescent="0.2">
      <c r="A8" s="600">
        <v>6.1</v>
      </c>
      <c r="B8" s="601" t="s">
        <v>95</v>
      </c>
      <c r="C8" s="763"/>
      <c r="D8" s="763"/>
      <c r="E8" s="600" t="s">
        <v>96</v>
      </c>
      <c r="F8" s="602" t="s">
        <v>97</v>
      </c>
      <c r="G8" s="593" t="s">
        <v>98</v>
      </c>
      <c r="H8" s="593" t="s">
        <v>49</v>
      </c>
      <c r="I8" s="531">
        <v>45917</v>
      </c>
      <c r="J8" s="531"/>
      <c r="K8" s="531">
        <v>45859</v>
      </c>
      <c r="L8" s="533" t="s">
        <v>4</v>
      </c>
      <c r="M8" s="533" t="s">
        <v>4</v>
      </c>
      <c r="N8" s="533" t="s">
        <v>4</v>
      </c>
      <c r="O8" s="534" t="s">
        <v>4</v>
      </c>
      <c r="P8" s="681">
        <v>45943</v>
      </c>
      <c r="Q8" s="682">
        <v>45951</v>
      </c>
      <c r="R8" s="677">
        <v>45951</v>
      </c>
      <c r="S8" s="682">
        <v>45951</v>
      </c>
      <c r="T8" s="677">
        <v>45981</v>
      </c>
      <c r="U8" s="682">
        <v>45981</v>
      </c>
      <c r="V8" s="677">
        <v>46006</v>
      </c>
      <c r="W8" s="682">
        <v>46006</v>
      </c>
      <c r="X8" s="682">
        <v>46009</v>
      </c>
      <c r="Y8" s="682">
        <v>46026</v>
      </c>
      <c r="Z8" s="680" t="s">
        <v>99</v>
      </c>
      <c r="AA8" s="667" t="s">
        <v>100</v>
      </c>
      <c r="AB8" s="660"/>
      <c r="AC8" s="667" t="s">
        <v>101</v>
      </c>
      <c r="AD8" s="660" t="s">
        <v>73</v>
      </c>
      <c r="AE8" s="668"/>
      <c r="AF8" s="668" t="s">
        <v>61</v>
      </c>
      <c r="AG8" s="593" t="s">
        <v>102</v>
      </c>
      <c r="AH8" s="593"/>
      <c r="AI8" s="683" t="s">
        <v>61</v>
      </c>
      <c r="AJ8" s="658"/>
      <c r="AK8" s="658"/>
      <c r="AL8" s="658"/>
      <c r="AM8" s="684"/>
      <c r="AN8" s="685" t="s">
        <v>64</v>
      </c>
    </row>
    <row r="9" spans="1:41" s="661" customFormat="1" ht="46" customHeight="1" x14ac:dyDescent="0.2">
      <c r="A9" s="600">
        <v>6.2</v>
      </c>
      <c r="B9" s="601" t="s">
        <v>103</v>
      </c>
      <c r="C9" s="763"/>
      <c r="D9" s="763"/>
      <c r="E9" s="600" t="s">
        <v>104</v>
      </c>
      <c r="F9" s="603" t="s">
        <v>97</v>
      </c>
      <c r="G9" s="593" t="s">
        <v>98</v>
      </c>
      <c r="H9" s="593" t="s">
        <v>105</v>
      </c>
      <c r="I9" s="531">
        <v>45917</v>
      </c>
      <c r="J9" s="531"/>
      <c r="K9" s="531">
        <v>45859</v>
      </c>
      <c r="L9" s="536" t="s">
        <v>4</v>
      </c>
      <c r="M9" s="536" t="s">
        <v>4</v>
      </c>
      <c r="N9" s="536" t="s">
        <v>4</v>
      </c>
      <c r="O9" s="537" t="s">
        <v>4</v>
      </c>
      <c r="P9" s="686">
        <v>45943</v>
      </c>
      <c r="Q9" s="687">
        <v>45951</v>
      </c>
      <c r="R9" s="688">
        <v>45951</v>
      </c>
      <c r="S9" s="687">
        <v>45951</v>
      </c>
      <c r="T9" s="688">
        <v>45981</v>
      </c>
      <c r="U9" s="687">
        <v>45981</v>
      </c>
      <c r="V9" s="688">
        <v>46006</v>
      </c>
      <c r="W9" s="687">
        <v>46006</v>
      </c>
      <c r="X9" s="687">
        <v>46026</v>
      </c>
      <c r="Y9" s="687">
        <v>46066</v>
      </c>
      <c r="Z9" s="689" t="s">
        <v>106</v>
      </c>
      <c r="AA9" s="673" t="s">
        <v>100</v>
      </c>
      <c r="AB9" s="690"/>
      <c r="AC9" s="673" t="s">
        <v>101</v>
      </c>
      <c r="AD9" s="690" t="s">
        <v>73</v>
      </c>
      <c r="AE9" s="674"/>
      <c r="AF9" s="674" t="s">
        <v>61</v>
      </c>
      <c r="AG9" s="598" t="s">
        <v>102</v>
      </c>
      <c r="AH9" s="598"/>
      <c r="AI9" s="674" t="s">
        <v>61</v>
      </c>
      <c r="AJ9" s="691"/>
      <c r="AK9" s="691" t="s">
        <v>61</v>
      </c>
      <c r="AL9" s="691" t="s">
        <v>61</v>
      </c>
      <c r="AM9" s="692" t="s">
        <v>63</v>
      </c>
      <c r="AN9" s="674" t="s">
        <v>107</v>
      </c>
    </row>
    <row r="10" spans="1:41" s="661" customFormat="1" ht="46" customHeight="1" x14ac:dyDescent="0.2">
      <c r="A10" s="604">
        <v>7</v>
      </c>
      <c r="B10" s="605" t="s">
        <v>108</v>
      </c>
      <c r="C10" s="764"/>
      <c r="D10" s="764"/>
      <c r="E10" s="604" t="s">
        <v>109</v>
      </c>
      <c r="F10" s="602" t="s">
        <v>110</v>
      </c>
      <c r="G10" s="593" t="s">
        <v>111</v>
      </c>
      <c r="H10" s="593" t="s">
        <v>49</v>
      </c>
      <c r="I10" s="531">
        <v>45917</v>
      </c>
      <c r="J10" s="531"/>
      <c r="K10" s="531">
        <v>45929</v>
      </c>
      <c r="L10" s="548" t="s">
        <v>93</v>
      </c>
      <c r="M10" s="522" t="s">
        <v>4</v>
      </c>
      <c r="N10" s="522" t="s">
        <v>4</v>
      </c>
      <c r="O10" s="522" t="s">
        <v>4</v>
      </c>
      <c r="P10" s="693">
        <v>45943</v>
      </c>
      <c r="Q10" s="694">
        <v>45951</v>
      </c>
      <c r="R10" s="670">
        <v>45957</v>
      </c>
      <c r="S10" s="694">
        <v>45951</v>
      </c>
      <c r="T10" s="670">
        <v>45957</v>
      </c>
      <c r="U10" s="694">
        <v>45968</v>
      </c>
      <c r="V10" s="670">
        <v>45991</v>
      </c>
      <c r="W10" s="694">
        <v>45991</v>
      </c>
      <c r="X10" s="694">
        <v>46013</v>
      </c>
      <c r="Y10" s="694">
        <v>46026</v>
      </c>
      <c r="Z10" s="695" t="s">
        <v>112</v>
      </c>
      <c r="AA10" s="696" t="s">
        <v>100</v>
      </c>
      <c r="AB10" s="657"/>
      <c r="AC10" s="696" t="s">
        <v>113</v>
      </c>
      <c r="AD10" s="657" t="s">
        <v>73</v>
      </c>
      <c r="AE10" s="658"/>
      <c r="AF10" s="658" t="s">
        <v>61</v>
      </c>
      <c r="AG10" s="604" t="s">
        <v>114</v>
      </c>
      <c r="AH10" s="604"/>
      <c r="AI10" s="658" t="s">
        <v>61</v>
      </c>
      <c r="AJ10" s="658"/>
      <c r="AK10" s="658" t="s">
        <v>61</v>
      </c>
      <c r="AL10" s="658" t="s">
        <v>73</v>
      </c>
      <c r="AM10" s="696" t="s">
        <v>63</v>
      </c>
      <c r="AN10" s="658" t="s">
        <v>64</v>
      </c>
    </row>
    <row r="11" spans="1:41" s="661" customFormat="1" ht="46" customHeight="1" x14ac:dyDescent="0.2">
      <c r="A11" s="604">
        <v>8</v>
      </c>
      <c r="B11" s="606" t="s">
        <v>115</v>
      </c>
      <c r="C11" s="604"/>
      <c r="D11" s="604"/>
      <c r="E11" s="604" t="s">
        <v>116</v>
      </c>
      <c r="F11" s="602" t="s">
        <v>4</v>
      </c>
      <c r="G11" s="593" t="s">
        <v>98</v>
      </c>
      <c r="H11" s="593" t="s">
        <v>49</v>
      </c>
      <c r="I11" s="528" t="s">
        <v>117</v>
      </c>
      <c r="J11" s="532"/>
      <c r="K11" s="528" t="s">
        <v>118</v>
      </c>
      <c r="L11" s="549" t="s">
        <v>4</v>
      </c>
      <c r="M11" s="521" t="s">
        <v>4</v>
      </c>
      <c r="N11" s="521" t="s">
        <v>4</v>
      </c>
      <c r="O11" s="521" t="s">
        <v>4</v>
      </c>
      <c r="P11" s="693">
        <v>45943</v>
      </c>
      <c r="Q11" s="694">
        <v>45951</v>
      </c>
      <c r="R11" s="670">
        <v>45951</v>
      </c>
      <c r="S11" s="694">
        <v>45951</v>
      </c>
      <c r="T11" s="670">
        <v>45981</v>
      </c>
      <c r="U11" s="694">
        <v>45981</v>
      </c>
      <c r="V11" s="670">
        <v>46006</v>
      </c>
      <c r="W11" s="694">
        <v>46006</v>
      </c>
      <c r="X11" s="694">
        <v>46009</v>
      </c>
      <c r="Y11" s="694">
        <v>46026</v>
      </c>
      <c r="Z11" s="697" t="s">
        <v>4</v>
      </c>
      <c r="AA11" s="658"/>
      <c r="AB11" s="658"/>
      <c r="AC11" s="658"/>
      <c r="AD11" s="658"/>
      <c r="AE11" s="658"/>
      <c r="AF11" s="658"/>
      <c r="AG11" s="658"/>
      <c r="AH11" s="658"/>
      <c r="AI11" s="658"/>
      <c r="AJ11" s="658"/>
      <c r="AK11" s="658"/>
      <c r="AL11" s="658"/>
      <c r="AM11" s="658"/>
      <c r="AN11" s="658"/>
      <c r="AO11" s="629"/>
    </row>
    <row r="12" spans="1:41" s="661" customFormat="1" ht="46" customHeight="1" x14ac:dyDescent="0.2">
      <c r="A12" s="604">
        <v>9</v>
      </c>
      <c r="B12" s="607" t="s">
        <v>119</v>
      </c>
      <c r="C12" s="765"/>
      <c r="D12" s="765"/>
      <c r="E12" s="608" t="s">
        <v>4</v>
      </c>
      <c r="F12" s="609" t="s">
        <v>120</v>
      </c>
      <c r="G12" s="595" t="s">
        <v>121</v>
      </c>
      <c r="H12" s="595"/>
      <c r="I12" s="532" t="s">
        <v>73</v>
      </c>
      <c r="J12" s="520"/>
      <c r="K12" s="569">
        <v>45992</v>
      </c>
      <c r="L12" s="549" t="s">
        <v>4</v>
      </c>
      <c r="M12" s="521" t="s">
        <v>4</v>
      </c>
      <c r="N12" s="521" t="s">
        <v>4</v>
      </c>
      <c r="O12" s="572" t="s">
        <v>73</v>
      </c>
      <c r="P12" s="608" t="s">
        <v>4</v>
      </c>
      <c r="Q12" s="698" t="s">
        <v>49</v>
      </c>
      <c r="R12" s="608"/>
      <c r="S12" s="698"/>
      <c r="T12" s="608" t="s">
        <v>4</v>
      </c>
      <c r="U12" s="699">
        <v>45978</v>
      </c>
      <c r="V12" s="608" t="s">
        <v>4</v>
      </c>
      <c r="W12" s="700" t="s">
        <v>49</v>
      </c>
      <c r="X12" s="701">
        <v>46000</v>
      </c>
      <c r="Y12" s="699">
        <v>46125</v>
      </c>
      <c r="Z12" s="702" t="s">
        <v>122</v>
      </c>
      <c r="AA12" s="703" t="s">
        <v>123</v>
      </c>
      <c r="AB12" s="703"/>
      <c r="AC12" s="704" t="s">
        <v>124</v>
      </c>
      <c r="AD12" s="703" t="s">
        <v>73</v>
      </c>
      <c r="AE12" s="705"/>
      <c r="AF12" s="705" t="s">
        <v>125</v>
      </c>
      <c r="AG12" s="705" t="s">
        <v>49</v>
      </c>
      <c r="AH12" s="705"/>
      <c r="AI12" s="705" t="s">
        <v>125</v>
      </c>
      <c r="AJ12" s="705"/>
      <c r="AK12" s="705" t="s">
        <v>61</v>
      </c>
      <c r="AL12" s="705" t="s">
        <v>61</v>
      </c>
      <c r="AM12" s="703"/>
      <c r="AN12" s="705" t="s">
        <v>64</v>
      </c>
    </row>
    <row r="13" spans="1:41" s="661" customFormat="1" ht="46" customHeight="1" x14ac:dyDescent="0.2">
      <c r="A13" s="610">
        <v>10</v>
      </c>
      <c r="B13" s="747" t="s">
        <v>126</v>
      </c>
      <c r="C13" s="766">
        <v>29919</v>
      </c>
      <c r="D13" s="766"/>
      <c r="E13" s="610" t="s">
        <v>127</v>
      </c>
      <c r="F13" s="748" t="s">
        <v>128</v>
      </c>
      <c r="G13" s="749" t="s">
        <v>129</v>
      </c>
      <c r="H13" s="749"/>
      <c r="I13" s="558">
        <v>45917</v>
      </c>
      <c r="J13" s="558"/>
      <c r="K13" s="570">
        <v>45929</v>
      </c>
      <c r="L13" s="550" t="s">
        <v>4</v>
      </c>
      <c r="M13" s="539" t="s">
        <v>4</v>
      </c>
      <c r="N13" s="539" t="s">
        <v>4</v>
      </c>
      <c r="O13" s="573" t="s">
        <v>73</v>
      </c>
      <c r="P13" s="706">
        <v>45943</v>
      </c>
      <c r="Q13" s="707">
        <v>45951</v>
      </c>
      <c r="R13" s="708">
        <v>45943</v>
      </c>
      <c r="S13" s="707">
        <v>45951</v>
      </c>
      <c r="T13" s="708">
        <v>45961</v>
      </c>
      <c r="U13" s="707">
        <v>45968</v>
      </c>
      <c r="V13" s="708">
        <v>45972</v>
      </c>
      <c r="W13" s="707">
        <v>45978</v>
      </c>
      <c r="X13" s="582" t="s">
        <v>130</v>
      </c>
      <c r="Y13" s="584" t="s">
        <v>131</v>
      </c>
      <c r="Z13" s="709" t="s">
        <v>132</v>
      </c>
      <c r="AA13" s="710" t="s">
        <v>133</v>
      </c>
      <c r="AB13" s="710"/>
      <c r="AC13" s="710"/>
      <c r="AD13" s="710"/>
      <c r="AE13" s="711"/>
      <c r="AF13" s="711" t="s">
        <v>125</v>
      </c>
      <c r="AG13" s="712" t="s">
        <v>134</v>
      </c>
      <c r="AH13" s="712"/>
      <c r="AI13" s="711" t="s">
        <v>125</v>
      </c>
      <c r="AJ13" s="711" t="s">
        <v>125</v>
      </c>
      <c r="AK13" s="711" t="s">
        <v>61</v>
      </c>
      <c r="AL13" s="711" t="s">
        <v>61</v>
      </c>
      <c r="AM13" s="713" t="s">
        <v>63</v>
      </c>
      <c r="AN13" s="714" t="s">
        <v>107</v>
      </c>
    </row>
    <row r="14" spans="1:41" s="661" customFormat="1" ht="46" customHeight="1" x14ac:dyDescent="0.2">
      <c r="A14" s="610">
        <v>11.1</v>
      </c>
      <c r="B14" s="747" t="s">
        <v>135</v>
      </c>
      <c r="C14" s="766">
        <v>27473</v>
      </c>
      <c r="D14" s="766"/>
      <c r="E14" s="610" t="s">
        <v>136</v>
      </c>
      <c r="F14" s="748" t="s">
        <v>137</v>
      </c>
      <c r="G14" s="749" t="s">
        <v>129</v>
      </c>
      <c r="H14" s="749"/>
      <c r="I14" s="558">
        <v>45917</v>
      </c>
      <c r="J14" s="558"/>
      <c r="K14" s="571" t="s">
        <v>138</v>
      </c>
      <c r="L14" s="551" t="s">
        <v>4</v>
      </c>
      <c r="M14" s="538" t="s">
        <v>4</v>
      </c>
      <c r="N14" s="538" t="s">
        <v>4</v>
      </c>
      <c r="O14" s="574" t="s">
        <v>73</v>
      </c>
      <c r="P14" s="708">
        <v>45955</v>
      </c>
      <c r="Q14" s="707">
        <v>45954</v>
      </c>
      <c r="R14" s="708">
        <v>45986</v>
      </c>
      <c r="S14" s="707">
        <v>45958</v>
      </c>
      <c r="T14" s="708">
        <v>45986</v>
      </c>
      <c r="U14" s="707">
        <v>45989</v>
      </c>
      <c r="V14" s="708">
        <v>46118</v>
      </c>
      <c r="W14" s="707">
        <v>46024</v>
      </c>
      <c r="X14" s="583">
        <v>46354</v>
      </c>
      <c r="Y14" s="786" t="s">
        <v>139</v>
      </c>
      <c r="Z14" s="709" t="s">
        <v>140</v>
      </c>
      <c r="AA14" s="710"/>
      <c r="AB14" s="710"/>
      <c r="AC14" s="710"/>
      <c r="AD14" s="710"/>
      <c r="AE14" s="715" t="s">
        <v>49</v>
      </c>
      <c r="AF14" s="715" t="s">
        <v>125</v>
      </c>
      <c r="AG14" s="715" t="s">
        <v>49</v>
      </c>
      <c r="AH14" s="715" t="s">
        <v>125</v>
      </c>
      <c r="AI14" s="715" t="s">
        <v>125</v>
      </c>
      <c r="AJ14" s="715" t="s">
        <v>125</v>
      </c>
      <c r="AK14" s="715" t="s">
        <v>125</v>
      </c>
      <c r="AL14" s="715" t="s">
        <v>125</v>
      </c>
      <c r="AM14" s="710"/>
      <c r="AN14" s="714" t="s">
        <v>107</v>
      </c>
    </row>
    <row r="15" spans="1:41" s="661" customFormat="1" ht="46" customHeight="1" x14ac:dyDescent="0.2">
      <c r="A15" s="610">
        <v>11.2</v>
      </c>
      <c r="B15" s="747" t="s">
        <v>141</v>
      </c>
      <c r="C15" s="766">
        <v>27473</v>
      </c>
      <c r="D15" s="766"/>
      <c r="E15" s="610" t="s">
        <v>136</v>
      </c>
      <c r="F15" s="748" t="s">
        <v>137</v>
      </c>
      <c r="G15" s="749" t="s">
        <v>129</v>
      </c>
      <c r="H15" s="749"/>
      <c r="I15" s="558">
        <v>45917</v>
      </c>
      <c r="J15" s="558"/>
      <c r="K15" s="559" t="s">
        <v>138</v>
      </c>
      <c r="L15" s="551"/>
      <c r="M15" s="538"/>
      <c r="N15" s="538"/>
      <c r="O15" s="538"/>
      <c r="P15" s="582" t="s">
        <v>50</v>
      </c>
      <c r="Q15" s="582" t="s">
        <v>142</v>
      </c>
      <c r="R15" s="582" t="s">
        <v>50</v>
      </c>
      <c r="S15" s="582" t="s">
        <v>142</v>
      </c>
      <c r="T15" s="582">
        <v>46125</v>
      </c>
      <c r="U15" s="582" t="s">
        <v>142</v>
      </c>
      <c r="V15" s="708">
        <v>46142</v>
      </c>
      <c r="W15" s="707" t="s">
        <v>142</v>
      </c>
      <c r="X15" s="583">
        <v>46142</v>
      </c>
      <c r="Y15" s="786" t="s">
        <v>142</v>
      </c>
      <c r="Z15" s="709" t="s">
        <v>143</v>
      </c>
      <c r="AA15" s="710"/>
      <c r="AB15" s="710"/>
      <c r="AC15" s="710"/>
      <c r="AD15" s="710"/>
      <c r="AE15" s="715" t="s">
        <v>49</v>
      </c>
      <c r="AF15" s="715" t="s">
        <v>125</v>
      </c>
      <c r="AG15" s="715" t="s">
        <v>49</v>
      </c>
      <c r="AH15" s="715" t="s">
        <v>125</v>
      </c>
      <c r="AI15" s="715" t="s">
        <v>125</v>
      </c>
      <c r="AJ15" s="715" t="s">
        <v>125</v>
      </c>
      <c r="AK15" s="715" t="s">
        <v>125</v>
      </c>
      <c r="AL15" s="715" t="s">
        <v>125</v>
      </c>
      <c r="AM15" s="710"/>
      <c r="AN15" s="714"/>
    </row>
    <row r="16" spans="1:41" s="661" customFormat="1" ht="46" customHeight="1" x14ac:dyDescent="0.2">
      <c r="A16" s="610">
        <v>11.3</v>
      </c>
      <c r="B16" s="747" t="s">
        <v>144</v>
      </c>
      <c r="C16" s="766">
        <v>27473</v>
      </c>
      <c r="D16" s="766"/>
      <c r="E16" s="610" t="s">
        <v>145</v>
      </c>
      <c r="F16" s="748" t="s">
        <v>137</v>
      </c>
      <c r="G16" s="749" t="s">
        <v>129</v>
      </c>
      <c r="H16" s="749"/>
      <c r="I16" s="558"/>
      <c r="J16" s="558"/>
      <c r="K16" s="559"/>
      <c r="L16" s="551"/>
      <c r="M16" s="538"/>
      <c r="N16" s="538"/>
      <c r="O16" s="538"/>
      <c r="P16" s="582">
        <v>46132</v>
      </c>
      <c r="Q16" s="582"/>
      <c r="R16" s="582">
        <f>P16</f>
        <v>46132</v>
      </c>
      <c r="S16" s="582"/>
      <c r="T16" s="716">
        <v>46157</v>
      </c>
      <c r="U16" s="716"/>
      <c r="V16" s="583">
        <v>46213</v>
      </c>
      <c r="W16" s="717"/>
      <c r="X16" s="583">
        <f>X14</f>
        <v>46354</v>
      </c>
      <c r="Y16" s="786"/>
      <c r="Z16" s="709"/>
      <c r="AA16" s="710"/>
      <c r="AB16" s="710"/>
      <c r="AC16" s="710"/>
      <c r="AD16" s="710"/>
      <c r="AE16" s="715"/>
      <c r="AF16" s="715"/>
      <c r="AG16" s="715"/>
      <c r="AH16" s="715"/>
      <c r="AI16" s="715"/>
      <c r="AJ16" s="715"/>
      <c r="AK16" s="715"/>
      <c r="AL16" s="715"/>
      <c r="AM16" s="710"/>
      <c r="AN16" s="714"/>
    </row>
    <row r="17" spans="1:41" s="661" customFormat="1" ht="46" customHeight="1" x14ac:dyDescent="0.2">
      <c r="A17" s="610">
        <v>11.4</v>
      </c>
      <c r="B17" s="747" t="s">
        <v>146</v>
      </c>
      <c r="C17" s="766">
        <v>27473</v>
      </c>
      <c r="D17" s="766"/>
      <c r="E17" s="610" t="s">
        <v>136</v>
      </c>
      <c r="F17" s="748" t="s">
        <v>137</v>
      </c>
      <c r="G17" s="749" t="s">
        <v>129</v>
      </c>
      <c r="H17" s="808"/>
      <c r="I17" s="558"/>
      <c r="J17" s="558"/>
      <c r="K17" s="559"/>
      <c r="L17" s="551"/>
      <c r="M17" s="538"/>
      <c r="N17" s="538"/>
      <c r="O17" s="538"/>
      <c r="P17" s="582">
        <v>46132</v>
      </c>
      <c r="Q17" s="582"/>
      <c r="R17" s="582">
        <f>P17</f>
        <v>46132</v>
      </c>
      <c r="S17" s="582"/>
      <c r="T17" s="716">
        <f>T16</f>
        <v>46157</v>
      </c>
      <c r="U17" s="716"/>
      <c r="V17" s="583">
        <f>V16</f>
        <v>46213</v>
      </c>
      <c r="W17" s="717"/>
      <c r="X17" s="583">
        <f>X14</f>
        <v>46354</v>
      </c>
      <c r="Y17" s="786"/>
      <c r="Z17" s="709" t="s">
        <v>147</v>
      </c>
      <c r="AA17" s="710"/>
      <c r="AB17" s="710"/>
      <c r="AC17" s="710"/>
      <c r="AD17" s="710"/>
      <c r="AE17" s="715"/>
      <c r="AF17" s="715"/>
      <c r="AG17" s="715"/>
      <c r="AH17" s="715"/>
      <c r="AI17" s="715"/>
      <c r="AJ17" s="715"/>
      <c r="AK17" s="715"/>
      <c r="AL17" s="715"/>
      <c r="AM17" s="710"/>
      <c r="AN17" s="714"/>
    </row>
    <row r="18" spans="1:41" s="661" customFormat="1" ht="46" customHeight="1" x14ac:dyDescent="0.2">
      <c r="A18" s="610">
        <v>12</v>
      </c>
      <c r="B18" s="747" t="s">
        <v>148</v>
      </c>
      <c r="C18" s="766"/>
      <c r="D18" s="766"/>
      <c r="E18" s="610" t="s">
        <v>149</v>
      </c>
      <c r="F18" s="748" t="s">
        <v>150</v>
      </c>
      <c r="G18" s="811" t="s">
        <v>151</v>
      </c>
      <c r="H18" s="610"/>
      <c r="I18" s="812">
        <v>45917</v>
      </c>
      <c r="J18" s="558"/>
      <c r="K18" s="571" t="s">
        <v>152</v>
      </c>
      <c r="L18" s="551" t="s">
        <v>4</v>
      </c>
      <c r="M18" s="538" t="s">
        <v>4</v>
      </c>
      <c r="N18" s="538" t="s">
        <v>4</v>
      </c>
      <c r="O18" s="574" t="s">
        <v>73</v>
      </c>
      <c r="P18" s="718">
        <v>46037</v>
      </c>
      <c r="Q18" s="719">
        <v>46037</v>
      </c>
      <c r="R18" s="720">
        <v>46037</v>
      </c>
      <c r="S18" s="719">
        <v>46054</v>
      </c>
      <c r="T18" s="720">
        <v>46068</v>
      </c>
      <c r="U18" s="719">
        <v>46068</v>
      </c>
      <c r="V18" s="720">
        <v>46096</v>
      </c>
      <c r="W18" s="719">
        <v>46096</v>
      </c>
      <c r="X18" s="708" t="s">
        <v>153</v>
      </c>
      <c r="Y18" s="708" t="s">
        <v>153</v>
      </c>
      <c r="Z18" s="759" t="s">
        <v>154</v>
      </c>
      <c r="AA18" s="760"/>
      <c r="AB18" s="760"/>
      <c r="AC18" s="760"/>
      <c r="AD18" s="760"/>
      <c r="AE18" s="761" t="s">
        <v>49</v>
      </c>
      <c r="AF18" s="761" t="s">
        <v>125</v>
      </c>
      <c r="AG18" s="761" t="s">
        <v>49</v>
      </c>
      <c r="AH18" s="761" t="s">
        <v>49</v>
      </c>
      <c r="AI18" s="761" t="s">
        <v>49</v>
      </c>
      <c r="AJ18" s="761" t="s">
        <v>125</v>
      </c>
      <c r="AK18" s="761" t="s">
        <v>125</v>
      </c>
      <c r="AL18" s="761" t="s">
        <v>125</v>
      </c>
      <c r="AM18" s="761" t="s">
        <v>49</v>
      </c>
      <c r="AN18" s="761" t="s">
        <v>107</v>
      </c>
      <c r="AO18" s="637"/>
    </row>
    <row r="19" spans="1:41" s="661" customFormat="1" ht="39.75" customHeight="1" x14ac:dyDescent="0.2">
      <c r="A19" s="758">
        <v>13</v>
      </c>
      <c r="B19" s="747" t="s">
        <v>155</v>
      </c>
      <c r="C19" s="766"/>
      <c r="D19" s="766"/>
      <c r="E19" s="610" t="s">
        <v>156</v>
      </c>
      <c r="F19" s="793" t="s">
        <v>157</v>
      </c>
      <c r="G19" s="794" t="s">
        <v>158</v>
      </c>
      <c r="H19" s="794"/>
      <c r="I19" s="558">
        <v>45917</v>
      </c>
      <c r="J19" s="558"/>
      <c r="K19" s="570">
        <v>45901</v>
      </c>
      <c r="L19" s="550"/>
      <c r="M19" s="539"/>
      <c r="N19" s="539" t="s">
        <v>4</v>
      </c>
      <c r="O19" s="573"/>
      <c r="P19" s="708" t="s">
        <v>159</v>
      </c>
      <c r="Q19" s="707"/>
      <c r="R19" s="708" t="s">
        <v>159</v>
      </c>
      <c r="S19" s="707"/>
      <c r="T19" s="583" t="s">
        <v>160</v>
      </c>
      <c r="U19" s="717"/>
      <c r="V19" s="584" t="s">
        <v>161</v>
      </c>
      <c r="W19" s="717"/>
      <c r="X19" s="585" t="s">
        <v>162</v>
      </c>
      <c r="Y19" s="784" t="s">
        <v>163</v>
      </c>
      <c r="Z19" s="709" t="s">
        <v>164</v>
      </c>
      <c r="AA19" s="710"/>
      <c r="AB19" s="710"/>
      <c r="AC19" s="710"/>
      <c r="AD19" s="710"/>
      <c r="AE19" s="715"/>
      <c r="AF19" s="715"/>
      <c r="AG19" s="715"/>
      <c r="AH19" s="715"/>
      <c r="AI19" s="715"/>
      <c r="AJ19" s="715"/>
      <c r="AK19" s="715"/>
      <c r="AL19" s="715"/>
      <c r="AM19" s="710"/>
      <c r="AN19" s="710"/>
    </row>
    <row r="20" spans="1:41" s="661" customFormat="1" ht="39.75" customHeight="1" x14ac:dyDescent="0.2">
      <c r="A20" s="614">
        <v>14</v>
      </c>
      <c r="B20" s="738" t="s">
        <v>165</v>
      </c>
      <c r="C20" s="614"/>
      <c r="D20" s="614"/>
      <c r="E20" s="614" t="s">
        <v>166</v>
      </c>
      <c r="F20" s="619" t="s">
        <v>4</v>
      </c>
      <c r="G20" s="620" t="s">
        <v>167</v>
      </c>
      <c r="H20" s="620" t="s">
        <v>125</v>
      </c>
      <c r="I20" s="561">
        <v>45988</v>
      </c>
      <c r="J20" s="561"/>
      <c r="K20" s="575">
        <v>45985</v>
      </c>
      <c r="L20" s="552" t="s">
        <v>4</v>
      </c>
      <c r="M20" s="540" t="s">
        <v>4</v>
      </c>
      <c r="N20" s="540" t="s">
        <v>4</v>
      </c>
      <c r="O20" s="580" t="s">
        <v>4</v>
      </c>
      <c r="P20" s="729" t="s">
        <v>168</v>
      </c>
      <c r="Q20" s="614" t="s">
        <v>4</v>
      </c>
      <c r="R20" s="729" t="s">
        <v>168</v>
      </c>
      <c r="S20" s="614"/>
      <c r="T20" s="729">
        <v>46096</v>
      </c>
      <c r="U20" s="614" t="s">
        <v>4</v>
      </c>
      <c r="V20" s="729">
        <v>46055</v>
      </c>
      <c r="W20" s="614" t="s">
        <v>4</v>
      </c>
      <c r="X20" s="729">
        <v>46146</v>
      </c>
      <c r="Y20" s="729" t="s">
        <v>169</v>
      </c>
      <c r="Z20" s="722" t="s">
        <v>170</v>
      </c>
      <c r="AA20" s="710"/>
      <c r="AB20" s="721" t="s">
        <v>171</v>
      </c>
      <c r="AC20" s="710"/>
      <c r="AD20" s="710"/>
      <c r="AE20" s="715"/>
      <c r="AF20" s="715"/>
      <c r="AG20" s="715"/>
      <c r="AH20" s="715"/>
      <c r="AI20" s="715"/>
      <c r="AJ20" s="715"/>
      <c r="AK20" s="715"/>
      <c r="AL20" s="715"/>
      <c r="AM20" s="710"/>
      <c r="AN20" s="710"/>
    </row>
    <row r="21" spans="1:41" s="661" customFormat="1" ht="75" x14ac:dyDescent="0.2">
      <c r="A21" s="611">
        <v>15.1</v>
      </c>
      <c r="B21" s="781" t="s">
        <v>172</v>
      </c>
      <c r="C21" s="617"/>
      <c r="D21" s="617"/>
      <c r="E21" s="617" t="s">
        <v>77</v>
      </c>
      <c r="F21" s="618" t="s">
        <v>86</v>
      </c>
      <c r="G21" s="613" t="s">
        <v>87</v>
      </c>
      <c r="H21" s="613" t="s">
        <v>125</v>
      </c>
      <c r="I21" s="562">
        <v>46090</v>
      </c>
      <c r="J21" s="563" t="s">
        <v>4</v>
      </c>
      <c r="K21" s="576" t="s">
        <v>88</v>
      </c>
      <c r="L21" s="541" t="s">
        <v>50</v>
      </c>
      <c r="M21" s="541" t="s">
        <v>50</v>
      </c>
      <c r="N21" s="541" t="s">
        <v>50</v>
      </c>
      <c r="O21" s="574" t="s">
        <v>73</v>
      </c>
      <c r="P21" s="723">
        <v>46118</v>
      </c>
      <c r="Q21" s="617" t="s">
        <v>49</v>
      </c>
      <c r="R21" s="785">
        <v>46118</v>
      </c>
      <c r="S21" s="617" t="s">
        <v>4</v>
      </c>
      <c r="T21" s="785">
        <v>46153</v>
      </c>
      <c r="U21" s="617" t="s">
        <v>4</v>
      </c>
      <c r="V21" s="785">
        <v>46192</v>
      </c>
      <c r="W21" s="617" t="s">
        <v>4</v>
      </c>
      <c r="X21" s="785">
        <v>46222</v>
      </c>
      <c r="Y21" s="785">
        <v>46334</v>
      </c>
      <c r="Z21" s="724" t="s">
        <v>173</v>
      </c>
      <c r="AA21" s="725" t="s">
        <v>4</v>
      </c>
      <c r="AB21" s="725" t="s">
        <v>4</v>
      </c>
      <c r="AC21" s="725" t="s">
        <v>4</v>
      </c>
      <c r="AD21" s="725" t="s">
        <v>4</v>
      </c>
      <c r="AE21" s="726" t="s">
        <v>49</v>
      </c>
      <c r="AF21" s="726" t="s">
        <v>125</v>
      </c>
      <c r="AG21" s="725" t="s">
        <v>49</v>
      </c>
      <c r="AH21" s="725" t="s">
        <v>125</v>
      </c>
      <c r="AI21" s="726" t="s">
        <v>125</v>
      </c>
      <c r="AJ21" s="726" t="s">
        <v>125</v>
      </c>
      <c r="AK21" s="726" t="s">
        <v>174</v>
      </c>
      <c r="AL21" s="726" t="s">
        <v>125</v>
      </c>
      <c r="AM21" s="725" t="s">
        <v>4</v>
      </c>
      <c r="AN21" s="726" t="s">
        <v>4</v>
      </c>
      <c r="AO21" s="727"/>
    </row>
    <row r="22" spans="1:41" s="661" customFormat="1" ht="72.75" customHeight="1" x14ac:dyDescent="0.2">
      <c r="A22" s="611">
        <v>15.2</v>
      </c>
      <c r="B22" s="782" t="s">
        <v>175</v>
      </c>
      <c r="C22" s="611"/>
      <c r="D22" s="611"/>
      <c r="E22" s="611" t="s">
        <v>77</v>
      </c>
      <c r="F22" s="612" t="s">
        <v>176</v>
      </c>
      <c r="G22" s="613" t="s">
        <v>79</v>
      </c>
      <c r="H22" s="613" t="s">
        <v>125</v>
      </c>
      <c r="I22" s="430" t="s">
        <v>50</v>
      </c>
      <c r="J22" s="430"/>
      <c r="K22" s="577">
        <v>45943</v>
      </c>
      <c r="L22" s="553" t="s">
        <v>4</v>
      </c>
      <c r="M22" s="527" t="s">
        <v>4</v>
      </c>
      <c r="N22" s="527" t="s">
        <v>4</v>
      </c>
      <c r="O22" s="574" t="s">
        <v>73</v>
      </c>
      <c r="P22" s="728">
        <v>46097</v>
      </c>
      <c r="Q22" s="611" t="s">
        <v>49</v>
      </c>
      <c r="R22" s="728">
        <v>46142</v>
      </c>
      <c r="S22" s="611"/>
      <c r="T22" s="728">
        <v>46171</v>
      </c>
      <c r="U22" s="611"/>
      <c r="V22" s="728">
        <v>46222</v>
      </c>
      <c r="W22" s="611"/>
      <c r="X22" s="728">
        <v>46222</v>
      </c>
      <c r="Y22" s="728">
        <v>46334</v>
      </c>
      <c r="Z22" s="721"/>
      <c r="AA22" s="710"/>
      <c r="AB22" s="710"/>
      <c r="AC22" s="710"/>
      <c r="AD22" s="710"/>
      <c r="AE22" s="715" t="s">
        <v>49</v>
      </c>
      <c r="AF22" s="715" t="s">
        <v>49</v>
      </c>
      <c r="AG22" s="715" t="s">
        <v>125</v>
      </c>
      <c r="AH22" s="715" t="s">
        <v>125</v>
      </c>
      <c r="AI22" s="715" t="s">
        <v>125</v>
      </c>
      <c r="AJ22" s="715" t="s">
        <v>125</v>
      </c>
      <c r="AK22" s="715" t="s">
        <v>125</v>
      </c>
      <c r="AL22" s="715" t="s">
        <v>125</v>
      </c>
      <c r="AM22" s="710"/>
      <c r="AN22" s="710"/>
    </row>
    <row r="23" spans="1:41" s="661" customFormat="1" ht="39.75" customHeight="1" x14ac:dyDescent="0.2">
      <c r="A23" s="758">
        <v>16</v>
      </c>
      <c r="B23" s="790" t="s">
        <v>177</v>
      </c>
      <c r="C23" s="758"/>
      <c r="D23" s="758"/>
      <c r="E23" s="758" t="s">
        <v>178</v>
      </c>
      <c r="F23" s="791" t="s">
        <v>4</v>
      </c>
      <c r="G23" s="792" t="s">
        <v>179</v>
      </c>
      <c r="H23" s="792" t="s">
        <v>49</v>
      </c>
      <c r="I23" s="544" t="s">
        <v>117</v>
      </c>
      <c r="J23" s="564"/>
      <c r="K23" s="578">
        <v>45985</v>
      </c>
      <c r="L23" s="554" t="s">
        <v>4</v>
      </c>
      <c r="M23" s="526" t="s">
        <v>4</v>
      </c>
      <c r="N23" s="526" t="s">
        <v>4</v>
      </c>
      <c r="O23" s="574" t="s">
        <v>73</v>
      </c>
      <c r="P23" s="757">
        <v>46096</v>
      </c>
      <c r="Q23" s="758" t="s">
        <v>49</v>
      </c>
      <c r="R23" s="757">
        <v>46096</v>
      </c>
      <c r="S23" s="758"/>
      <c r="T23" s="729">
        <v>46143</v>
      </c>
      <c r="U23" s="614" t="s">
        <v>4</v>
      </c>
      <c r="V23" s="729">
        <v>46188</v>
      </c>
      <c r="W23" s="614" t="s">
        <v>4</v>
      </c>
      <c r="X23" s="729">
        <v>46223</v>
      </c>
      <c r="Y23" s="729">
        <v>46223</v>
      </c>
      <c r="Z23" s="722" t="s">
        <v>4</v>
      </c>
      <c r="AA23" s="710"/>
      <c r="AB23" s="710"/>
      <c r="AC23" s="710"/>
      <c r="AD23" s="710"/>
      <c r="AE23" s="715" t="s">
        <v>49</v>
      </c>
      <c r="AF23" s="715" t="s">
        <v>125</v>
      </c>
      <c r="AG23" s="715" t="s">
        <v>125</v>
      </c>
      <c r="AH23" s="715" t="s">
        <v>125</v>
      </c>
      <c r="AI23" s="715" t="s">
        <v>49</v>
      </c>
      <c r="AJ23" s="715"/>
      <c r="AK23" s="715" t="s">
        <v>49</v>
      </c>
      <c r="AL23" s="715" t="s">
        <v>49</v>
      </c>
      <c r="AM23" s="710"/>
      <c r="AN23" s="710"/>
    </row>
    <row r="24" spans="1:41" s="661" customFormat="1" ht="39.75" customHeight="1" x14ac:dyDescent="0.2">
      <c r="A24" s="614">
        <v>17</v>
      </c>
      <c r="B24" s="783" t="s">
        <v>180</v>
      </c>
      <c r="C24" s="621"/>
      <c r="D24" s="621"/>
      <c r="E24" s="621" t="s">
        <v>181</v>
      </c>
      <c r="F24" s="619" t="s">
        <v>182</v>
      </c>
      <c r="G24" s="622" t="s">
        <v>4</v>
      </c>
      <c r="H24" s="620" t="s">
        <v>125</v>
      </c>
      <c r="I24" s="544" t="s">
        <v>117</v>
      </c>
      <c r="J24" s="565"/>
      <c r="K24" s="492" t="s">
        <v>183</v>
      </c>
      <c r="L24" s="555" t="s">
        <v>4</v>
      </c>
      <c r="M24" s="523" t="s">
        <v>4</v>
      </c>
      <c r="N24" s="523" t="s">
        <v>4</v>
      </c>
      <c r="O24" s="574" t="s">
        <v>73</v>
      </c>
      <c r="P24" s="616" t="s">
        <v>184</v>
      </c>
      <c r="Q24" s="787" t="s">
        <v>49</v>
      </c>
      <c r="R24" s="616" t="s">
        <v>184</v>
      </c>
      <c r="S24" s="787"/>
      <c r="T24" s="583">
        <v>46218</v>
      </c>
      <c r="U24" s="787"/>
      <c r="V24" s="583">
        <v>46234</v>
      </c>
      <c r="W24" s="787"/>
      <c r="X24" s="583">
        <v>46234</v>
      </c>
      <c r="Y24" s="583">
        <v>46234</v>
      </c>
      <c r="Z24" s="730" t="s">
        <v>4</v>
      </c>
      <c r="AA24" s="710"/>
      <c r="AB24" s="710"/>
      <c r="AC24" s="710"/>
      <c r="AD24" s="710"/>
      <c r="AE24" s="715"/>
      <c r="AF24" s="715" t="s">
        <v>125</v>
      </c>
      <c r="AG24" s="715" t="s">
        <v>125</v>
      </c>
      <c r="AH24" s="715" t="s">
        <v>49</v>
      </c>
      <c r="AI24" s="715" t="s">
        <v>49</v>
      </c>
      <c r="AJ24" s="715"/>
      <c r="AK24" s="715" t="s">
        <v>125</v>
      </c>
      <c r="AL24" s="715" t="s">
        <v>49</v>
      </c>
      <c r="AM24" s="710"/>
      <c r="AN24" s="710"/>
    </row>
    <row r="25" spans="1:41" s="661" customFormat="1" ht="39.75" customHeight="1" x14ac:dyDescent="0.2">
      <c r="A25" s="614">
        <v>18</v>
      </c>
      <c r="B25" s="782" t="s">
        <v>185</v>
      </c>
      <c r="C25" s="611"/>
      <c r="D25" s="611"/>
      <c r="E25" s="611" t="s">
        <v>186</v>
      </c>
      <c r="F25" s="612" t="s">
        <v>187</v>
      </c>
      <c r="G25" s="613" t="s">
        <v>183</v>
      </c>
      <c r="H25" s="613" t="s">
        <v>125</v>
      </c>
      <c r="I25" s="544" t="s">
        <v>117</v>
      </c>
      <c r="J25" s="544"/>
      <c r="K25" s="487" t="s">
        <v>183</v>
      </c>
      <c r="L25" s="556" t="s">
        <v>4</v>
      </c>
      <c r="M25" s="524" t="s">
        <v>4</v>
      </c>
      <c r="N25" s="524" t="s">
        <v>4</v>
      </c>
      <c r="O25" s="581"/>
      <c r="P25" s="584" t="s">
        <v>188</v>
      </c>
      <c r="Q25" s="717"/>
      <c r="R25" s="584" t="s">
        <v>188</v>
      </c>
      <c r="S25" s="717"/>
      <c r="T25" s="584" t="s">
        <v>189</v>
      </c>
      <c r="U25" s="717"/>
      <c r="V25" s="584" t="s">
        <v>190</v>
      </c>
      <c r="W25" s="717"/>
      <c r="X25" s="584" t="s">
        <v>191</v>
      </c>
      <c r="Y25" s="788" t="s">
        <v>192</v>
      </c>
      <c r="Z25" s="731" t="s">
        <v>193</v>
      </c>
      <c r="AA25" s="710"/>
      <c r="AB25" s="710"/>
      <c r="AC25" s="710"/>
      <c r="AD25" s="710"/>
      <c r="AE25" s="715"/>
      <c r="AF25" s="715"/>
      <c r="AG25" s="715"/>
      <c r="AH25" s="715"/>
      <c r="AI25" s="715"/>
      <c r="AJ25" s="715"/>
      <c r="AK25" s="715"/>
      <c r="AL25" s="715"/>
      <c r="AM25" s="710"/>
      <c r="AN25" s="710"/>
    </row>
    <row r="26" spans="1:41" s="661" customFormat="1" ht="39.75" customHeight="1" x14ac:dyDescent="0.2">
      <c r="A26" s="614">
        <v>19</v>
      </c>
      <c r="B26" s="738" t="s">
        <v>194</v>
      </c>
      <c r="C26" s="614"/>
      <c r="D26" s="614"/>
      <c r="E26" s="614" t="s">
        <v>195</v>
      </c>
      <c r="F26" s="619" t="s">
        <v>4</v>
      </c>
      <c r="G26" s="620" t="s">
        <v>196</v>
      </c>
      <c r="H26" s="620" t="s">
        <v>125</v>
      </c>
      <c r="I26" s="544" t="s">
        <v>117</v>
      </c>
      <c r="J26" s="560"/>
      <c r="K26" s="490" t="s">
        <v>118</v>
      </c>
      <c r="L26" s="557" t="s">
        <v>4</v>
      </c>
      <c r="M26" s="525" t="s">
        <v>4</v>
      </c>
      <c r="N26" s="525" t="s">
        <v>4</v>
      </c>
      <c r="O26" s="574" t="s">
        <v>4</v>
      </c>
      <c r="P26" s="795" t="s">
        <v>197</v>
      </c>
      <c r="Q26" s="787"/>
      <c r="R26" s="795" t="s">
        <v>197</v>
      </c>
      <c r="S26" s="787"/>
      <c r="T26" s="716" t="s">
        <v>198</v>
      </c>
      <c r="U26" s="787"/>
      <c r="V26" s="583">
        <v>46266</v>
      </c>
      <c r="W26" s="787"/>
      <c r="X26" s="583">
        <v>46334</v>
      </c>
      <c r="Y26" s="786">
        <v>46397</v>
      </c>
      <c r="Z26" s="730" t="s">
        <v>4</v>
      </c>
      <c r="AA26" s="710"/>
      <c r="AB26" s="710"/>
      <c r="AC26" s="710"/>
      <c r="AD26" s="710"/>
      <c r="AE26" s="715" t="s">
        <v>49</v>
      </c>
      <c r="AF26" s="715" t="s">
        <v>125</v>
      </c>
      <c r="AG26" s="715"/>
      <c r="AH26" s="715" t="s">
        <v>49</v>
      </c>
      <c r="AI26" s="715" t="s">
        <v>49</v>
      </c>
      <c r="AJ26" s="715" t="s">
        <v>125</v>
      </c>
      <c r="AK26" s="715" t="s">
        <v>49</v>
      </c>
      <c r="AL26" s="715" t="s">
        <v>125</v>
      </c>
      <c r="AM26" s="710"/>
      <c r="AN26" s="710"/>
    </row>
    <row r="27" spans="1:41" s="661" customFormat="1" ht="39.75" customHeight="1" x14ac:dyDescent="0.2">
      <c r="A27" s="614">
        <v>20</v>
      </c>
      <c r="B27" s="738" t="s">
        <v>199</v>
      </c>
      <c r="C27" s="360">
        <v>31152</v>
      </c>
      <c r="D27" s="614"/>
      <c r="E27" s="614" t="s">
        <v>200</v>
      </c>
      <c r="F27" s="619" t="s">
        <v>4</v>
      </c>
      <c r="G27" s="620" t="s">
        <v>201</v>
      </c>
      <c r="H27" s="620" t="s">
        <v>49</v>
      </c>
      <c r="I27" s="544" t="s">
        <v>117</v>
      </c>
      <c r="J27" s="564"/>
      <c r="K27" s="579" t="s">
        <v>202</v>
      </c>
      <c r="L27" s="554" t="s">
        <v>4</v>
      </c>
      <c r="M27" s="526" t="s">
        <v>4</v>
      </c>
      <c r="N27" s="526" t="s">
        <v>4</v>
      </c>
      <c r="O27" s="573" t="s">
        <v>4</v>
      </c>
      <c r="P27" s="583" t="s">
        <v>142</v>
      </c>
      <c r="Q27" s="787"/>
      <c r="R27" s="583" t="s">
        <v>142</v>
      </c>
      <c r="S27" s="787"/>
      <c r="T27" s="583">
        <v>46096</v>
      </c>
      <c r="U27" s="787"/>
      <c r="V27" s="583">
        <v>46266</v>
      </c>
      <c r="W27" s="787"/>
      <c r="X27" s="583">
        <v>46384</v>
      </c>
      <c r="Y27" s="786">
        <v>46419</v>
      </c>
      <c r="Z27" s="730" t="s">
        <v>4</v>
      </c>
      <c r="AA27" s="710"/>
      <c r="AB27" s="710"/>
      <c r="AC27" s="710"/>
      <c r="AD27" s="710"/>
      <c r="AE27" s="715" t="s">
        <v>49</v>
      </c>
      <c r="AF27" s="715" t="s">
        <v>125</v>
      </c>
      <c r="AG27" s="715"/>
      <c r="AH27" s="715" t="s">
        <v>49</v>
      </c>
      <c r="AI27" s="715" t="s">
        <v>49</v>
      </c>
      <c r="AJ27" s="715" t="s">
        <v>125</v>
      </c>
      <c r="AK27" s="715" t="s">
        <v>49</v>
      </c>
      <c r="AL27" s="715" t="s">
        <v>125</v>
      </c>
      <c r="AM27" s="710"/>
      <c r="AN27" s="710"/>
    </row>
    <row r="28" spans="1:41" s="661" customFormat="1" ht="39.75" customHeight="1" x14ac:dyDescent="0.2">
      <c r="A28" s="614">
        <v>21.1</v>
      </c>
      <c r="B28" s="790" t="s">
        <v>203</v>
      </c>
      <c r="C28" s="758">
        <v>30659</v>
      </c>
      <c r="D28" s="758"/>
      <c r="E28" s="758" t="s">
        <v>204</v>
      </c>
      <c r="F28" s="791" t="s">
        <v>205</v>
      </c>
      <c r="G28" s="792" t="s">
        <v>206</v>
      </c>
      <c r="H28" s="792" t="s">
        <v>49</v>
      </c>
      <c r="I28" s="544" t="s">
        <v>117</v>
      </c>
      <c r="J28" s="564"/>
      <c r="K28" s="564" t="s">
        <v>118</v>
      </c>
      <c r="L28" s="554" t="s">
        <v>4</v>
      </c>
      <c r="M28" s="526" t="s">
        <v>4</v>
      </c>
      <c r="N28" s="526" t="s">
        <v>4</v>
      </c>
      <c r="O28" s="568" t="s">
        <v>4</v>
      </c>
      <c r="P28" s="820">
        <v>46082</v>
      </c>
      <c r="Q28" s="821"/>
      <c r="R28" s="820">
        <v>46082</v>
      </c>
      <c r="S28" s="821"/>
      <c r="T28" s="708">
        <v>46188</v>
      </c>
      <c r="U28" s="821"/>
      <c r="V28" s="583">
        <v>46209</v>
      </c>
      <c r="W28" s="787"/>
      <c r="X28" s="716">
        <v>46222</v>
      </c>
      <c r="Y28" s="789" t="s">
        <v>207</v>
      </c>
      <c r="Z28" s="730" t="s">
        <v>4</v>
      </c>
      <c r="AA28" s="710"/>
      <c r="AB28" s="710"/>
      <c r="AC28" s="710"/>
      <c r="AD28" s="710"/>
      <c r="AE28" s="715"/>
      <c r="AF28" s="715"/>
      <c r="AG28" s="715"/>
      <c r="AH28" s="715"/>
      <c r="AI28" s="715"/>
      <c r="AJ28" s="715"/>
      <c r="AK28" s="715"/>
      <c r="AL28" s="715"/>
      <c r="AM28" s="710"/>
      <c r="AN28" s="710"/>
    </row>
    <row r="29" spans="1:41" s="661" customFormat="1" ht="39.75" customHeight="1" x14ac:dyDescent="0.2">
      <c r="A29" s="614">
        <v>21.2</v>
      </c>
      <c r="B29" s="738" t="s">
        <v>208</v>
      </c>
      <c r="C29" s="614">
        <v>30659</v>
      </c>
      <c r="D29" s="614"/>
      <c r="E29" s="614" t="s">
        <v>204</v>
      </c>
      <c r="F29" s="619" t="s">
        <v>205</v>
      </c>
      <c r="G29" s="620" t="s">
        <v>206</v>
      </c>
      <c r="H29" s="620" t="s">
        <v>49</v>
      </c>
      <c r="I29" s="584" t="s">
        <v>209</v>
      </c>
      <c r="J29" s="787"/>
      <c r="K29" s="584" t="s">
        <v>209</v>
      </c>
      <c r="L29" s="787"/>
      <c r="M29" s="583">
        <v>46188</v>
      </c>
      <c r="N29" s="787"/>
      <c r="O29" s="583">
        <v>46203</v>
      </c>
      <c r="P29" s="584">
        <v>46188</v>
      </c>
      <c r="Q29" s="787"/>
      <c r="R29" s="584">
        <v>46188</v>
      </c>
      <c r="S29" s="787"/>
      <c r="T29" s="583">
        <v>46266</v>
      </c>
      <c r="U29" s="787"/>
      <c r="V29" s="583">
        <v>46321</v>
      </c>
      <c r="W29" s="710"/>
      <c r="X29" s="789" t="s">
        <v>207</v>
      </c>
      <c r="Y29" s="789" t="s">
        <v>207</v>
      </c>
      <c r="Z29" s="715"/>
      <c r="AA29" s="715"/>
      <c r="AB29" s="715"/>
      <c r="AC29" s="715"/>
      <c r="AD29" s="715"/>
      <c r="AE29" s="715"/>
      <c r="AF29" s="710"/>
      <c r="AG29" s="710"/>
      <c r="AI29" s="629"/>
      <c r="AJ29" s="629"/>
      <c r="AK29" s="629"/>
      <c r="AL29" s="629"/>
    </row>
    <row r="30" spans="1:41" s="661" customFormat="1" ht="43.5" customHeight="1" x14ac:dyDescent="0.2">
      <c r="A30" s="614">
        <v>22</v>
      </c>
      <c r="B30" s="623" t="s">
        <v>210</v>
      </c>
      <c r="C30" s="624"/>
      <c r="D30" s="624" t="s">
        <v>211</v>
      </c>
      <c r="E30" s="624" t="s">
        <v>212</v>
      </c>
      <c r="F30" s="625" t="s">
        <v>213</v>
      </c>
      <c r="G30" s="620" t="s">
        <v>214</v>
      </c>
      <c r="H30" s="620" t="s">
        <v>125</v>
      </c>
      <c r="I30" s="566" t="s">
        <v>4</v>
      </c>
      <c r="J30" s="566" t="s">
        <v>4</v>
      </c>
      <c r="K30" s="566"/>
      <c r="L30" s="542" t="s">
        <v>4</v>
      </c>
      <c r="M30" s="542" t="s">
        <v>4</v>
      </c>
      <c r="N30" s="542" t="s">
        <v>4</v>
      </c>
      <c r="O30" s="542" t="s">
        <v>4</v>
      </c>
      <c r="P30" s="624" t="s">
        <v>142</v>
      </c>
      <c r="Q30" s="624"/>
      <c r="R30" s="624" t="s">
        <v>142</v>
      </c>
      <c r="S30" s="624" t="s">
        <v>4</v>
      </c>
      <c r="T30" s="624" t="s">
        <v>142</v>
      </c>
      <c r="U30" s="624" t="s">
        <v>4</v>
      </c>
      <c r="V30" s="624" t="s">
        <v>142</v>
      </c>
      <c r="W30" s="624" t="s">
        <v>4</v>
      </c>
      <c r="X30" s="624" t="s">
        <v>142</v>
      </c>
      <c r="Y30" s="624" t="s">
        <v>215</v>
      </c>
      <c r="Z30" s="623" t="s">
        <v>216</v>
      </c>
      <c r="AA30" s="732" t="s">
        <v>4</v>
      </c>
      <c r="AB30" s="732" t="s">
        <v>4</v>
      </c>
      <c r="AC30" s="732" t="s">
        <v>4</v>
      </c>
      <c r="AD30" s="732" t="s">
        <v>4</v>
      </c>
      <c r="AE30" s="732" t="s">
        <v>49</v>
      </c>
      <c r="AF30" s="732" t="s">
        <v>61</v>
      </c>
      <c r="AG30" s="732" t="s">
        <v>49</v>
      </c>
      <c r="AH30" s="732" t="s">
        <v>49</v>
      </c>
      <c r="AI30" s="732" t="s">
        <v>61</v>
      </c>
      <c r="AJ30" s="732" t="s">
        <v>125</v>
      </c>
      <c r="AK30" s="732" t="s">
        <v>49</v>
      </c>
      <c r="AL30" s="732" t="s">
        <v>73</v>
      </c>
      <c r="AM30" s="732" t="s">
        <v>4</v>
      </c>
      <c r="AN30" s="732" t="s">
        <v>4</v>
      </c>
      <c r="AO30" s="733"/>
    </row>
    <row r="31" spans="1:41" s="661" customFormat="1" ht="39" customHeight="1" x14ac:dyDescent="0.2">
      <c r="A31" s="614">
        <v>23</v>
      </c>
      <c r="B31" s="623" t="s">
        <v>217</v>
      </c>
      <c r="C31" s="624"/>
      <c r="D31" s="624"/>
      <c r="E31" s="624" t="s">
        <v>218</v>
      </c>
      <c r="F31" s="625" t="s">
        <v>4</v>
      </c>
      <c r="G31" s="620" t="s">
        <v>219</v>
      </c>
      <c r="H31" s="616" t="s">
        <v>125</v>
      </c>
      <c r="I31" s="566" t="s">
        <v>4</v>
      </c>
      <c r="J31" s="566" t="s">
        <v>4</v>
      </c>
      <c r="K31" s="566"/>
      <c r="L31" s="542" t="s">
        <v>4</v>
      </c>
      <c r="M31" s="542" t="s">
        <v>4</v>
      </c>
      <c r="N31" s="542" t="s">
        <v>4</v>
      </c>
      <c r="O31" s="542" t="s">
        <v>4</v>
      </c>
      <c r="P31" s="624"/>
      <c r="Q31" s="624" t="s">
        <v>4</v>
      </c>
      <c r="R31" s="624" t="s">
        <v>4</v>
      </c>
      <c r="S31" s="624" t="s">
        <v>4</v>
      </c>
      <c r="T31" s="624" t="s">
        <v>4</v>
      </c>
      <c r="U31" s="624" t="s">
        <v>4</v>
      </c>
      <c r="V31" s="624" t="s">
        <v>4</v>
      </c>
      <c r="W31" s="624" t="s">
        <v>4</v>
      </c>
      <c r="X31" s="624" t="s">
        <v>4</v>
      </c>
      <c r="Y31" s="624" t="s">
        <v>4</v>
      </c>
      <c r="Z31" s="624" t="s">
        <v>4</v>
      </c>
      <c r="AA31" s="732" t="s">
        <v>4</v>
      </c>
      <c r="AB31" s="732" t="s">
        <v>4</v>
      </c>
      <c r="AC31" s="732" t="s">
        <v>4</v>
      </c>
      <c r="AD31" s="732" t="s">
        <v>4</v>
      </c>
      <c r="AE31" s="732" t="s">
        <v>4</v>
      </c>
      <c r="AF31" s="732" t="s">
        <v>4</v>
      </c>
      <c r="AG31" s="732" t="s">
        <v>4</v>
      </c>
      <c r="AH31" s="732" t="s">
        <v>4</v>
      </c>
      <c r="AI31" s="732" t="s">
        <v>4</v>
      </c>
      <c r="AJ31" s="732" t="s">
        <v>4</v>
      </c>
      <c r="AK31" s="732" t="s">
        <v>4</v>
      </c>
      <c r="AL31" s="732" t="s">
        <v>4</v>
      </c>
      <c r="AM31" s="732" t="s">
        <v>4</v>
      </c>
      <c r="AN31" s="732" t="s">
        <v>4</v>
      </c>
      <c r="AO31" s="733"/>
    </row>
    <row r="32" spans="1:41" s="661" customFormat="1" ht="39" customHeight="1" x14ac:dyDescent="0.2">
      <c r="A32" s="614">
        <v>24</v>
      </c>
      <c r="B32" s="623" t="s">
        <v>220</v>
      </c>
      <c r="C32" s="624">
        <v>30748</v>
      </c>
      <c r="D32" s="624"/>
      <c r="E32" s="624" t="s">
        <v>221</v>
      </c>
      <c r="F32" s="625" t="s">
        <v>4</v>
      </c>
      <c r="G32" s="620" t="s">
        <v>222</v>
      </c>
      <c r="H32" s="616" t="s">
        <v>125</v>
      </c>
      <c r="I32" s="566" t="s">
        <v>4</v>
      </c>
      <c r="J32" s="566" t="s">
        <v>4</v>
      </c>
      <c r="K32" s="566" t="s">
        <v>4</v>
      </c>
      <c r="L32" s="542" t="s">
        <v>4</v>
      </c>
      <c r="M32" s="542" t="s">
        <v>4</v>
      </c>
      <c r="N32" s="542" t="s">
        <v>4</v>
      </c>
      <c r="O32" s="542" t="s">
        <v>4</v>
      </c>
      <c r="P32" s="624" t="s">
        <v>4</v>
      </c>
      <c r="Q32" s="624" t="s">
        <v>4</v>
      </c>
      <c r="R32" s="624" t="s">
        <v>4</v>
      </c>
      <c r="S32" s="624" t="s">
        <v>4</v>
      </c>
      <c r="T32" s="624" t="s">
        <v>4</v>
      </c>
      <c r="U32" s="624" t="s">
        <v>4</v>
      </c>
      <c r="V32" s="624" t="s">
        <v>4</v>
      </c>
      <c r="W32" s="624" t="s">
        <v>4</v>
      </c>
      <c r="X32" s="624" t="s">
        <v>4</v>
      </c>
      <c r="Y32" s="624" t="s">
        <v>4</v>
      </c>
      <c r="Z32" s="624" t="s">
        <v>4</v>
      </c>
      <c r="AA32" s="732" t="s">
        <v>4</v>
      </c>
      <c r="AB32" s="732" t="s">
        <v>4</v>
      </c>
      <c r="AC32" s="732" t="s">
        <v>4</v>
      </c>
      <c r="AD32" s="732" t="s">
        <v>4</v>
      </c>
      <c r="AE32" s="732" t="s">
        <v>4</v>
      </c>
      <c r="AF32" s="732" t="s">
        <v>4</v>
      </c>
      <c r="AG32" s="732" t="s">
        <v>4</v>
      </c>
      <c r="AH32" s="732" t="s">
        <v>4</v>
      </c>
      <c r="AI32" s="732" t="s">
        <v>4</v>
      </c>
      <c r="AJ32" s="732" t="s">
        <v>4</v>
      </c>
      <c r="AK32" s="732" t="s">
        <v>4</v>
      </c>
      <c r="AL32" s="732" t="s">
        <v>4</v>
      </c>
      <c r="AM32" s="732" t="s">
        <v>4</v>
      </c>
      <c r="AN32" s="732" t="s">
        <v>4</v>
      </c>
      <c r="AO32" s="733"/>
    </row>
    <row r="33" spans="1:41" s="661" customFormat="1" ht="39" customHeight="1" x14ac:dyDescent="0.2">
      <c r="A33" s="614">
        <v>25</v>
      </c>
      <c r="B33" s="626" t="s">
        <v>223</v>
      </c>
      <c r="C33" s="624">
        <v>30747</v>
      </c>
      <c r="D33" s="624" t="s">
        <v>224</v>
      </c>
      <c r="E33" s="624" t="s">
        <v>225</v>
      </c>
      <c r="F33" s="625" t="s">
        <v>226</v>
      </c>
      <c r="G33" s="620" t="s">
        <v>222</v>
      </c>
      <c r="H33" s="620"/>
      <c r="I33" s="566" t="s">
        <v>4</v>
      </c>
      <c r="J33" s="566" t="s">
        <v>4</v>
      </c>
      <c r="K33" s="566" t="s">
        <v>4</v>
      </c>
      <c r="L33" s="542" t="s">
        <v>4</v>
      </c>
      <c r="M33" s="542" t="s">
        <v>4</v>
      </c>
      <c r="N33" s="542" t="s">
        <v>4</v>
      </c>
      <c r="O33" s="542" t="s">
        <v>4</v>
      </c>
      <c r="P33" s="773" t="s">
        <v>142</v>
      </c>
      <c r="Q33" s="624" t="s">
        <v>4</v>
      </c>
      <c r="R33" s="773" t="s">
        <v>142</v>
      </c>
      <c r="S33" s="624" t="s">
        <v>4</v>
      </c>
      <c r="T33" s="770" t="s">
        <v>142</v>
      </c>
      <c r="U33" s="624" t="s">
        <v>4</v>
      </c>
      <c r="V33" s="735" t="s">
        <v>142</v>
      </c>
      <c r="W33" s="624" t="s">
        <v>4</v>
      </c>
      <c r="X33" s="624" t="s">
        <v>142</v>
      </c>
      <c r="Y33" s="735" t="s">
        <v>142</v>
      </c>
      <c r="Z33" s="624" t="s">
        <v>227</v>
      </c>
      <c r="AA33" s="732" t="s">
        <v>4</v>
      </c>
      <c r="AB33" s="732" t="s">
        <v>4</v>
      </c>
      <c r="AC33" s="732" t="s">
        <v>4</v>
      </c>
      <c r="AD33" s="732" t="s">
        <v>4</v>
      </c>
      <c r="AE33" s="732" t="s">
        <v>49</v>
      </c>
      <c r="AF33" s="732" t="s">
        <v>61</v>
      </c>
      <c r="AG33" s="732" t="s">
        <v>125</v>
      </c>
      <c r="AH33" s="732" t="s">
        <v>49</v>
      </c>
      <c r="AI33" s="732" t="s">
        <v>61</v>
      </c>
      <c r="AJ33" s="732" t="s">
        <v>125</v>
      </c>
      <c r="AK33" s="732" t="s">
        <v>61</v>
      </c>
      <c r="AL33" s="732" t="s">
        <v>73</v>
      </c>
      <c r="AM33" s="732" t="s">
        <v>4</v>
      </c>
      <c r="AN33" s="732" t="s">
        <v>4</v>
      </c>
      <c r="AO33" s="733"/>
    </row>
    <row r="34" spans="1:41" s="661" customFormat="1" ht="39" customHeight="1" x14ac:dyDescent="0.2">
      <c r="A34" s="615">
        <v>26</v>
      </c>
      <c r="B34" s="626" t="s">
        <v>228</v>
      </c>
      <c r="C34" s="627"/>
      <c r="D34" s="627"/>
      <c r="E34" s="624" t="s">
        <v>4</v>
      </c>
      <c r="F34" s="625" t="s">
        <v>4</v>
      </c>
      <c r="G34" s="620" t="s">
        <v>229</v>
      </c>
      <c r="H34" s="620"/>
      <c r="I34" s="566" t="s">
        <v>4</v>
      </c>
      <c r="J34" s="566" t="s">
        <v>4</v>
      </c>
      <c r="K34" s="566" t="s">
        <v>4</v>
      </c>
      <c r="L34" s="542" t="s">
        <v>4</v>
      </c>
      <c r="M34" s="542" t="s">
        <v>4</v>
      </c>
      <c r="N34" s="542" t="s">
        <v>4</v>
      </c>
      <c r="O34" s="542" t="s">
        <v>4</v>
      </c>
      <c r="P34" s="624" t="s">
        <v>4</v>
      </c>
      <c r="Q34" s="624" t="s">
        <v>4</v>
      </c>
      <c r="R34" s="624" t="s">
        <v>4</v>
      </c>
      <c r="S34" s="624" t="s">
        <v>4</v>
      </c>
      <c r="T34" s="624" t="s">
        <v>4</v>
      </c>
      <c r="U34" s="624" t="s">
        <v>4</v>
      </c>
      <c r="V34" s="624" t="s">
        <v>4</v>
      </c>
      <c r="W34" s="624" t="s">
        <v>4</v>
      </c>
      <c r="X34" s="624" t="s">
        <v>4</v>
      </c>
      <c r="Y34" s="624" t="s">
        <v>4</v>
      </c>
      <c r="Z34" s="624" t="s">
        <v>4</v>
      </c>
      <c r="AA34" s="732" t="s">
        <v>4</v>
      </c>
      <c r="AB34" s="732" t="s">
        <v>4</v>
      </c>
      <c r="AC34" s="732" t="s">
        <v>4</v>
      </c>
      <c r="AD34" s="732" t="s">
        <v>4</v>
      </c>
      <c r="AE34" s="732" t="s">
        <v>4</v>
      </c>
      <c r="AF34" s="732" t="s">
        <v>4</v>
      </c>
      <c r="AG34" s="732" t="s">
        <v>4</v>
      </c>
      <c r="AH34" s="732" t="s">
        <v>4</v>
      </c>
      <c r="AI34" s="732" t="s">
        <v>4</v>
      </c>
      <c r="AJ34" s="732" t="s">
        <v>4</v>
      </c>
      <c r="AK34" s="732" t="s">
        <v>4</v>
      </c>
      <c r="AL34" s="732" t="s">
        <v>4</v>
      </c>
      <c r="AM34" s="732" t="s">
        <v>4</v>
      </c>
      <c r="AN34" s="732" t="s">
        <v>4</v>
      </c>
      <c r="AO34" s="733"/>
    </row>
    <row r="35" spans="1:41" s="661" customFormat="1" ht="39" customHeight="1" x14ac:dyDescent="0.2">
      <c r="A35" s="615">
        <v>27</v>
      </c>
      <c r="B35" s="623" t="s">
        <v>230</v>
      </c>
      <c r="C35" s="627"/>
      <c r="D35" s="627"/>
      <c r="E35" s="624"/>
      <c r="F35" s="625"/>
      <c r="G35" s="620" t="s">
        <v>231</v>
      </c>
      <c r="H35" s="616"/>
      <c r="I35" s="566" t="s">
        <v>4</v>
      </c>
      <c r="J35" s="566" t="s">
        <v>4</v>
      </c>
      <c r="K35" s="566" t="s">
        <v>4</v>
      </c>
      <c r="L35" s="542" t="s">
        <v>4</v>
      </c>
      <c r="M35" s="542" t="s">
        <v>4</v>
      </c>
      <c r="N35" s="542" t="s">
        <v>4</v>
      </c>
      <c r="O35" s="542" t="s">
        <v>4</v>
      </c>
      <c r="P35" s="624" t="s">
        <v>4</v>
      </c>
      <c r="Q35" s="624" t="s">
        <v>4</v>
      </c>
      <c r="R35" s="624" t="s">
        <v>4</v>
      </c>
      <c r="S35" s="624" t="s">
        <v>4</v>
      </c>
      <c r="T35" s="624" t="s">
        <v>4</v>
      </c>
      <c r="U35" s="624" t="s">
        <v>4</v>
      </c>
      <c r="V35" s="624" t="s">
        <v>4</v>
      </c>
      <c r="W35" s="624" t="s">
        <v>4</v>
      </c>
      <c r="X35" s="624" t="s">
        <v>4</v>
      </c>
      <c r="Y35" s="624" t="s">
        <v>4</v>
      </c>
      <c r="Z35" s="624" t="s">
        <v>4</v>
      </c>
      <c r="AA35" s="732" t="s">
        <v>4</v>
      </c>
      <c r="AB35" s="732" t="s">
        <v>4</v>
      </c>
      <c r="AC35" s="732" t="s">
        <v>4</v>
      </c>
      <c r="AD35" s="732" t="s">
        <v>4</v>
      </c>
      <c r="AE35" s="732" t="s">
        <v>4</v>
      </c>
      <c r="AF35" s="732" t="s">
        <v>4</v>
      </c>
      <c r="AG35" s="732" t="s">
        <v>4</v>
      </c>
      <c r="AH35" s="732" t="s">
        <v>4</v>
      </c>
      <c r="AI35" s="732" t="s">
        <v>4</v>
      </c>
      <c r="AJ35" s="732" t="s">
        <v>4</v>
      </c>
      <c r="AK35" s="732" t="s">
        <v>4</v>
      </c>
      <c r="AL35" s="732" t="s">
        <v>4</v>
      </c>
      <c r="AM35" s="732" t="s">
        <v>4</v>
      </c>
      <c r="AN35" s="732" t="s">
        <v>4</v>
      </c>
      <c r="AO35" s="733"/>
    </row>
    <row r="36" spans="1:41" s="661" customFormat="1" ht="39" customHeight="1" x14ac:dyDescent="0.2">
      <c r="A36" s="615">
        <v>28</v>
      </c>
      <c r="B36" s="626" t="s">
        <v>232</v>
      </c>
      <c r="C36" s="627">
        <v>31152</v>
      </c>
      <c r="D36" s="627"/>
      <c r="E36" s="624" t="s">
        <v>233</v>
      </c>
      <c r="F36" s="625"/>
      <c r="G36" s="616" t="s">
        <v>222</v>
      </c>
      <c r="H36" s="620"/>
      <c r="I36" s="567" t="s">
        <v>4</v>
      </c>
      <c r="J36" s="567" t="s">
        <v>4</v>
      </c>
      <c r="K36" s="567"/>
      <c r="L36" s="543" t="s">
        <v>4</v>
      </c>
      <c r="M36" s="543" t="s">
        <v>4</v>
      </c>
      <c r="N36" s="543" t="s">
        <v>4</v>
      </c>
      <c r="O36" s="543" t="s">
        <v>4</v>
      </c>
      <c r="P36" s="624"/>
      <c r="Q36" s="624"/>
      <c r="R36" s="624"/>
      <c r="S36" s="624"/>
      <c r="T36" s="624"/>
      <c r="U36" s="624"/>
      <c r="V36" s="624"/>
      <c r="W36" s="624"/>
      <c r="X36" s="624"/>
      <c r="Y36" s="735">
        <v>46389</v>
      </c>
      <c r="Z36" s="624"/>
      <c r="AA36" s="732"/>
      <c r="AB36" s="732"/>
      <c r="AC36" s="732"/>
      <c r="AD36" s="732"/>
      <c r="AE36" s="732"/>
      <c r="AF36" s="732"/>
      <c r="AG36" s="732"/>
      <c r="AH36" s="732"/>
      <c r="AI36" s="732"/>
      <c r="AJ36" s="732"/>
      <c r="AK36" s="732"/>
      <c r="AL36" s="732"/>
      <c r="AM36" s="732"/>
      <c r="AN36" s="732"/>
      <c r="AO36" s="733"/>
    </row>
    <row r="37" spans="1:41" s="661" customFormat="1" ht="39" customHeight="1" x14ac:dyDescent="0.2">
      <c r="A37" s="614">
        <v>29</v>
      </c>
      <c r="B37" s="623" t="s">
        <v>234</v>
      </c>
      <c r="C37" s="624"/>
      <c r="D37" s="624"/>
      <c r="E37" s="624" t="s">
        <v>4</v>
      </c>
      <c r="F37" s="625" t="s">
        <v>4</v>
      </c>
      <c r="G37" s="620" t="s">
        <v>235</v>
      </c>
      <c r="H37" s="620" t="s">
        <v>125</v>
      </c>
      <c r="I37" s="566" t="s">
        <v>4</v>
      </c>
      <c r="J37" s="566" t="s">
        <v>4</v>
      </c>
      <c r="K37" s="566" t="s">
        <v>4</v>
      </c>
      <c r="L37" s="542" t="s">
        <v>4</v>
      </c>
      <c r="M37" s="542" t="s">
        <v>4</v>
      </c>
      <c r="N37" s="542" t="s">
        <v>4</v>
      </c>
      <c r="O37" s="542" t="s">
        <v>4</v>
      </c>
      <c r="P37" s="624" t="s">
        <v>4</v>
      </c>
      <c r="Q37" s="624" t="s">
        <v>4</v>
      </c>
      <c r="R37" s="624" t="s">
        <v>4</v>
      </c>
      <c r="S37" s="624" t="s">
        <v>4</v>
      </c>
      <c r="T37" s="624" t="s">
        <v>4</v>
      </c>
      <c r="U37" s="624" t="s">
        <v>4</v>
      </c>
      <c r="V37" s="624" t="s">
        <v>4</v>
      </c>
      <c r="W37" s="624" t="s">
        <v>4</v>
      </c>
      <c r="X37" s="624" t="s">
        <v>4</v>
      </c>
      <c r="Y37" s="624" t="s">
        <v>4</v>
      </c>
      <c r="Z37" s="624" t="s">
        <v>4</v>
      </c>
      <c r="AA37" s="732" t="s">
        <v>4</v>
      </c>
      <c r="AB37" s="732" t="s">
        <v>4</v>
      </c>
      <c r="AC37" s="732" t="s">
        <v>4</v>
      </c>
      <c r="AD37" s="732" t="s">
        <v>4</v>
      </c>
      <c r="AE37" s="732" t="s">
        <v>4</v>
      </c>
      <c r="AF37" s="732" t="s">
        <v>4</v>
      </c>
      <c r="AG37" s="732" t="s">
        <v>4</v>
      </c>
      <c r="AH37" s="732" t="s">
        <v>4</v>
      </c>
      <c r="AI37" s="732" t="s">
        <v>4</v>
      </c>
      <c r="AJ37" s="732" t="s">
        <v>4</v>
      </c>
      <c r="AK37" s="732" t="s">
        <v>4</v>
      </c>
      <c r="AL37" s="732" t="s">
        <v>4</v>
      </c>
      <c r="AM37" s="732" t="s">
        <v>4</v>
      </c>
      <c r="AN37" s="732" t="s">
        <v>4</v>
      </c>
      <c r="AO37" s="733"/>
    </row>
    <row r="38" spans="1:41" s="661" customFormat="1" ht="39" customHeight="1" x14ac:dyDescent="0.2">
      <c r="A38" s="614">
        <v>30</v>
      </c>
      <c r="B38" s="623" t="s">
        <v>236</v>
      </c>
      <c r="C38" s="624"/>
      <c r="D38" s="624"/>
      <c r="E38" s="624" t="s">
        <v>4</v>
      </c>
      <c r="F38" s="625" t="s">
        <v>4</v>
      </c>
      <c r="G38" s="620" t="s">
        <v>235</v>
      </c>
      <c r="H38" s="620" t="s">
        <v>125</v>
      </c>
      <c r="I38" s="566" t="s">
        <v>4</v>
      </c>
      <c r="J38" s="566" t="s">
        <v>4</v>
      </c>
      <c r="K38" s="566" t="s">
        <v>4</v>
      </c>
      <c r="L38" s="542" t="s">
        <v>4</v>
      </c>
      <c r="M38" s="542" t="s">
        <v>4</v>
      </c>
      <c r="N38" s="542" t="s">
        <v>4</v>
      </c>
      <c r="O38" s="542" t="s">
        <v>4</v>
      </c>
      <c r="P38" s="624" t="s">
        <v>4</v>
      </c>
      <c r="Q38" s="624" t="s">
        <v>4</v>
      </c>
      <c r="R38" s="624" t="s">
        <v>4</v>
      </c>
      <c r="S38" s="624" t="s">
        <v>4</v>
      </c>
      <c r="T38" s="624" t="s">
        <v>4</v>
      </c>
      <c r="U38" s="624" t="s">
        <v>4</v>
      </c>
      <c r="V38" s="624" t="s">
        <v>4</v>
      </c>
      <c r="W38" s="624" t="s">
        <v>4</v>
      </c>
      <c r="X38" s="624" t="s">
        <v>4</v>
      </c>
      <c r="Y38" s="624" t="s">
        <v>4</v>
      </c>
      <c r="Z38" s="624" t="s">
        <v>4</v>
      </c>
      <c r="AA38" s="732" t="s">
        <v>4</v>
      </c>
      <c r="AB38" s="732" t="s">
        <v>4</v>
      </c>
      <c r="AC38" s="732" t="s">
        <v>4</v>
      </c>
      <c r="AD38" s="732" t="s">
        <v>4</v>
      </c>
      <c r="AE38" s="732" t="s">
        <v>4</v>
      </c>
      <c r="AF38" s="732" t="s">
        <v>4</v>
      </c>
      <c r="AG38" s="732" t="s">
        <v>4</v>
      </c>
      <c r="AH38" s="732" t="s">
        <v>4</v>
      </c>
      <c r="AI38" s="732" t="s">
        <v>4</v>
      </c>
      <c r="AJ38" s="732" t="s">
        <v>4</v>
      </c>
      <c r="AK38" s="732" t="s">
        <v>4</v>
      </c>
      <c r="AL38" s="732" t="s">
        <v>4</v>
      </c>
      <c r="AM38" s="732" t="s">
        <v>4</v>
      </c>
      <c r="AN38" s="732" t="s">
        <v>4</v>
      </c>
      <c r="AO38" s="733"/>
    </row>
    <row r="39" spans="1:41" s="661" customFormat="1" ht="39" customHeight="1" x14ac:dyDescent="0.2">
      <c r="A39" s="614">
        <v>31</v>
      </c>
      <c r="B39" s="626" t="s">
        <v>237</v>
      </c>
      <c r="C39" s="627"/>
      <c r="D39" s="627"/>
      <c r="E39" s="624" t="s">
        <v>166</v>
      </c>
      <c r="F39" s="625" t="s">
        <v>4</v>
      </c>
      <c r="G39" s="620" t="s">
        <v>167</v>
      </c>
      <c r="H39" s="616"/>
      <c r="I39" s="566" t="s">
        <v>4</v>
      </c>
      <c r="J39" s="566" t="s">
        <v>4</v>
      </c>
      <c r="K39" s="566" t="s">
        <v>4</v>
      </c>
      <c r="L39" s="542" t="s">
        <v>4</v>
      </c>
      <c r="M39" s="542" t="s">
        <v>4</v>
      </c>
      <c r="N39" s="542" t="s">
        <v>4</v>
      </c>
      <c r="O39" s="542" t="s">
        <v>4</v>
      </c>
      <c r="P39" s="624" t="s">
        <v>4</v>
      </c>
      <c r="Q39" s="624" t="s">
        <v>4</v>
      </c>
      <c r="R39" s="624" t="s">
        <v>4</v>
      </c>
      <c r="S39" s="624" t="s">
        <v>4</v>
      </c>
      <c r="T39" s="624" t="s">
        <v>4</v>
      </c>
      <c r="U39" s="624" t="s">
        <v>4</v>
      </c>
      <c r="V39" s="624" t="s">
        <v>4</v>
      </c>
      <c r="W39" s="624" t="s">
        <v>4</v>
      </c>
      <c r="X39" s="624" t="s">
        <v>4</v>
      </c>
      <c r="Y39" s="624" t="s">
        <v>4</v>
      </c>
      <c r="Z39" s="624" t="s">
        <v>4</v>
      </c>
      <c r="AA39" s="732" t="s">
        <v>4</v>
      </c>
      <c r="AB39" s="732" t="s">
        <v>4</v>
      </c>
      <c r="AC39" s="732" t="s">
        <v>4</v>
      </c>
      <c r="AD39" s="732" t="s">
        <v>4</v>
      </c>
      <c r="AE39" s="732" t="s">
        <v>4</v>
      </c>
      <c r="AF39" s="732" t="s">
        <v>4</v>
      </c>
      <c r="AG39" s="732" t="s">
        <v>4</v>
      </c>
      <c r="AH39" s="732" t="s">
        <v>4</v>
      </c>
      <c r="AI39" s="732" t="s">
        <v>4</v>
      </c>
      <c r="AJ39" s="732" t="s">
        <v>4</v>
      </c>
      <c r="AK39" s="732" t="s">
        <v>4</v>
      </c>
      <c r="AL39" s="732" t="s">
        <v>4</v>
      </c>
      <c r="AM39" s="732" t="s">
        <v>4</v>
      </c>
      <c r="AN39" s="732" t="s">
        <v>4</v>
      </c>
      <c r="AO39" s="733"/>
    </row>
    <row r="40" spans="1:41" s="661" customFormat="1" ht="119.25" customHeight="1" x14ac:dyDescent="0.2">
      <c r="A40" s="614">
        <v>32</v>
      </c>
      <c r="B40" s="626" t="s">
        <v>238</v>
      </c>
      <c r="C40" s="624">
        <v>31269</v>
      </c>
      <c r="D40" s="627"/>
      <c r="E40" s="624" t="s">
        <v>239</v>
      </c>
      <c r="F40" s="625" t="s">
        <v>240</v>
      </c>
      <c r="G40" s="620" t="s">
        <v>241</v>
      </c>
      <c r="H40" s="616" t="s">
        <v>125</v>
      </c>
      <c r="I40" s="566" t="s">
        <v>4</v>
      </c>
      <c r="J40" s="566" t="s">
        <v>4</v>
      </c>
      <c r="K40" s="566" t="s">
        <v>4</v>
      </c>
      <c r="L40" s="542" t="s">
        <v>4</v>
      </c>
      <c r="M40" s="542" t="s">
        <v>4</v>
      </c>
      <c r="N40" s="542" t="s">
        <v>4</v>
      </c>
      <c r="O40" s="542" t="s">
        <v>4</v>
      </c>
      <c r="P40" s="498"/>
      <c r="Q40" s="624"/>
      <c r="R40" s="498"/>
      <c r="S40" s="624"/>
      <c r="T40" s="498"/>
      <c r="U40" s="624"/>
      <c r="V40" s="735"/>
      <c r="W40" s="624" t="s">
        <v>4</v>
      </c>
      <c r="X40" s="735">
        <v>46222</v>
      </c>
      <c r="Y40" s="624" t="s">
        <v>242</v>
      </c>
      <c r="Z40" s="360" t="s">
        <v>243</v>
      </c>
      <c r="AA40" s="732" t="s">
        <v>4</v>
      </c>
      <c r="AB40" s="732" t="s">
        <v>4</v>
      </c>
      <c r="AC40" s="732" t="s">
        <v>4</v>
      </c>
      <c r="AD40" s="732" t="s">
        <v>4</v>
      </c>
      <c r="AE40" s="732" t="s">
        <v>4</v>
      </c>
      <c r="AF40" s="732" t="s">
        <v>4</v>
      </c>
      <c r="AG40" s="732" t="s">
        <v>4</v>
      </c>
      <c r="AH40" s="732" t="s">
        <v>4</v>
      </c>
      <c r="AI40" s="732" t="s">
        <v>4</v>
      </c>
      <c r="AJ40" s="732" t="s">
        <v>4</v>
      </c>
      <c r="AK40" s="732" t="s">
        <v>4</v>
      </c>
      <c r="AL40" s="732" t="s">
        <v>4</v>
      </c>
      <c r="AM40" s="732" t="s">
        <v>4</v>
      </c>
      <c r="AN40" s="732" t="s">
        <v>4</v>
      </c>
      <c r="AO40" s="733"/>
    </row>
    <row r="41" spans="1:41" s="661" customFormat="1" ht="39" customHeight="1" x14ac:dyDescent="0.2">
      <c r="A41" s="614">
        <v>33</v>
      </c>
      <c r="B41" s="623" t="s">
        <v>244</v>
      </c>
      <c r="C41" s="624"/>
      <c r="D41" s="624"/>
      <c r="E41" s="624" t="s">
        <v>4</v>
      </c>
      <c r="F41" s="625" t="s">
        <v>4</v>
      </c>
      <c r="G41" s="620" t="s">
        <v>4</v>
      </c>
      <c r="H41" s="620"/>
      <c r="I41" s="566" t="s">
        <v>4</v>
      </c>
      <c r="J41" s="566" t="s">
        <v>4</v>
      </c>
      <c r="K41" s="566" t="s">
        <v>4</v>
      </c>
      <c r="L41" s="542" t="s">
        <v>4</v>
      </c>
      <c r="M41" s="542" t="s">
        <v>4</v>
      </c>
      <c r="N41" s="542" t="s">
        <v>4</v>
      </c>
      <c r="O41" s="542" t="s">
        <v>4</v>
      </c>
      <c r="P41" s="624" t="s">
        <v>4</v>
      </c>
      <c r="Q41" s="624" t="s">
        <v>4</v>
      </c>
      <c r="R41" s="624" t="s">
        <v>4</v>
      </c>
      <c r="S41" s="624" t="s">
        <v>4</v>
      </c>
      <c r="T41" s="624" t="s">
        <v>4</v>
      </c>
      <c r="U41" s="624" t="s">
        <v>4</v>
      </c>
      <c r="V41" s="624" t="s">
        <v>4</v>
      </c>
      <c r="W41" s="624" t="s">
        <v>4</v>
      </c>
      <c r="X41" s="624" t="s">
        <v>4</v>
      </c>
      <c r="Y41" s="624" t="s">
        <v>4</v>
      </c>
      <c r="Z41" s="624" t="s">
        <v>4</v>
      </c>
      <c r="AA41" s="732" t="s">
        <v>4</v>
      </c>
      <c r="AB41" s="732" t="s">
        <v>4</v>
      </c>
      <c r="AC41" s="732" t="s">
        <v>4</v>
      </c>
      <c r="AD41" s="732" t="s">
        <v>4</v>
      </c>
      <c r="AE41" s="732" t="s">
        <v>4</v>
      </c>
      <c r="AF41" s="732" t="s">
        <v>4</v>
      </c>
      <c r="AG41" s="732" t="s">
        <v>4</v>
      </c>
      <c r="AH41" s="732" t="s">
        <v>4</v>
      </c>
      <c r="AI41" s="732" t="s">
        <v>4</v>
      </c>
      <c r="AJ41" s="732" t="s">
        <v>4</v>
      </c>
      <c r="AK41" s="732" t="s">
        <v>4</v>
      </c>
      <c r="AL41" s="732" t="s">
        <v>4</v>
      </c>
      <c r="AM41" s="732" t="s">
        <v>4</v>
      </c>
      <c r="AN41" s="732" t="s">
        <v>4</v>
      </c>
      <c r="AO41" s="733"/>
    </row>
    <row r="42" spans="1:41" s="661" customFormat="1" ht="39" customHeight="1" x14ac:dyDescent="0.2">
      <c r="A42" s="614">
        <v>34</v>
      </c>
      <c r="B42" s="772" t="s">
        <v>245</v>
      </c>
      <c r="C42" s="743"/>
      <c r="D42" s="743"/>
      <c r="E42" s="743" t="s">
        <v>4</v>
      </c>
      <c r="F42" s="586" t="s">
        <v>4</v>
      </c>
      <c r="G42" s="620" t="s">
        <v>246</v>
      </c>
      <c r="H42" s="616" t="s">
        <v>125</v>
      </c>
      <c r="I42" s="566" t="s">
        <v>4</v>
      </c>
      <c r="J42" s="566" t="s">
        <v>4</v>
      </c>
      <c r="K42" s="566" t="s">
        <v>4</v>
      </c>
      <c r="L42" s="542" t="s">
        <v>4</v>
      </c>
      <c r="M42" s="542" t="s">
        <v>4</v>
      </c>
      <c r="N42" s="542" t="s">
        <v>4</v>
      </c>
      <c r="O42" s="542" t="s">
        <v>4</v>
      </c>
      <c r="P42" s="624" t="s">
        <v>247</v>
      </c>
      <c r="Q42" s="624" t="s">
        <v>4</v>
      </c>
      <c r="R42" s="624" t="s">
        <v>248</v>
      </c>
      <c r="S42" s="624" t="s">
        <v>4</v>
      </c>
      <c r="T42" s="770">
        <v>46266</v>
      </c>
      <c r="U42" s="624" t="s">
        <v>4</v>
      </c>
      <c r="V42" s="770">
        <v>46296</v>
      </c>
      <c r="W42" s="624" t="s">
        <v>4</v>
      </c>
      <c r="X42" s="624" t="s">
        <v>249</v>
      </c>
      <c r="Y42" s="770">
        <v>46334</v>
      </c>
      <c r="Z42" s="624" t="s">
        <v>4</v>
      </c>
      <c r="AA42" s="732" t="s">
        <v>4</v>
      </c>
      <c r="AB42" s="732" t="s">
        <v>4</v>
      </c>
      <c r="AC42" s="732" t="s">
        <v>4</v>
      </c>
      <c r="AD42" s="732" t="s">
        <v>4</v>
      </c>
      <c r="AE42" s="732" t="s">
        <v>4</v>
      </c>
      <c r="AF42" s="732" t="s">
        <v>4</v>
      </c>
      <c r="AG42" s="732" t="s">
        <v>4</v>
      </c>
      <c r="AH42" s="732" t="s">
        <v>4</v>
      </c>
      <c r="AI42" s="732" t="s">
        <v>4</v>
      </c>
      <c r="AJ42" s="732" t="s">
        <v>4</v>
      </c>
      <c r="AK42" s="732" t="s">
        <v>4</v>
      </c>
      <c r="AL42" s="732" t="s">
        <v>4</v>
      </c>
      <c r="AM42" s="732" t="s">
        <v>4</v>
      </c>
      <c r="AN42" s="732" t="s">
        <v>4</v>
      </c>
      <c r="AO42" s="733"/>
    </row>
    <row r="43" spans="1:41" s="661" customFormat="1" ht="39" customHeight="1" x14ac:dyDescent="0.2">
      <c r="A43" s="619">
        <v>35</v>
      </c>
      <c r="B43" s="738" t="s">
        <v>250</v>
      </c>
      <c r="C43" s="614"/>
      <c r="D43" s="614"/>
      <c r="E43" s="614" t="s">
        <v>251</v>
      </c>
      <c r="F43" s="614" t="s">
        <v>4</v>
      </c>
      <c r="G43" s="771" t="s">
        <v>252</v>
      </c>
      <c r="H43" s="771" t="s">
        <v>49</v>
      </c>
      <c r="I43" s="566" t="s">
        <v>4</v>
      </c>
      <c r="J43" s="566" t="s">
        <v>4</v>
      </c>
      <c r="K43" s="566" t="s">
        <v>4</v>
      </c>
      <c r="L43" s="542" t="s">
        <v>4</v>
      </c>
      <c r="M43" s="542" t="s">
        <v>4</v>
      </c>
      <c r="N43" s="542" t="s">
        <v>4</v>
      </c>
      <c r="O43" s="542" t="s">
        <v>4</v>
      </c>
      <c r="P43" s="735">
        <v>46204</v>
      </c>
      <c r="Q43" s="624" t="s">
        <v>4</v>
      </c>
      <c r="R43" s="735">
        <v>46204</v>
      </c>
      <c r="S43" s="624" t="s">
        <v>4</v>
      </c>
      <c r="T43" s="735">
        <v>46235</v>
      </c>
      <c r="U43" s="624" t="s">
        <v>4</v>
      </c>
      <c r="V43" s="735">
        <v>46266</v>
      </c>
      <c r="W43" s="624" t="s">
        <v>4</v>
      </c>
      <c r="X43" s="735">
        <v>46266</v>
      </c>
      <c r="Y43" s="735">
        <v>46333</v>
      </c>
      <c r="Z43" s="623" t="s">
        <v>253</v>
      </c>
      <c r="AA43" s="732" t="s">
        <v>4</v>
      </c>
      <c r="AB43" s="732" t="s">
        <v>4</v>
      </c>
      <c r="AC43" s="732" t="s">
        <v>4</v>
      </c>
      <c r="AD43" s="732" t="s">
        <v>4</v>
      </c>
      <c r="AE43" s="732" t="s">
        <v>4</v>
      </c>
      <c r="AF43" s="732" t="s">
        <v>4</v>
      </c>
      <c r="AG43" s="732" t="s">
        <v>4</v>
      </c>
      <c r="AH43" s="732" t="s">
        <v>4</v>
      </c>
      <c r="AI43" s="732" t="s">
        <v>4</v>
      </c>
      <c r="AJ43" s="732" t="s">
        <v>4</v>
      </c>
      <c r="AK43" s="732" t="s">
        <v>4</v>
      </c>
      <c r="AL43" s="732" t="s">
        <v>4</v>
      </c>
      <c r="AM43" s="732" t="s">
        <v>4</v>
      </c>
      <c r="AN43" s="732" t="s">
        <v>4</v>
      </c>
      <c r="AO43" s="733"/>
    </row>
    <row r="44" spans="1:41" s="661" customFormat="1" ht="39" customHeight="1" x14ac:dyDescent="0.2">
      <c r="A44" s="619">
        <v>36</v>
      </c>
      <c r="B44" s="817" t="s">
        <v>254</v>
      </c>
      <c r="C44" s="614">
        <v>31249</v>
      </c>
      <c r="D44" s="615"/>
      <c r="E44" s="615" t="s">
        <v>4</v>
      </c>
      <c r="F44" s="615" t="s">
        <v>4</v>
      </c>
      <c r="G44" s="771" t="s">
        <v>222</v>
      </c>
      <c r="H44" s="816" t="s">
        <v>125</v>
      </c>
      <c r="I44" s="566" t="s">
        <v>4</v>
      </c>
      <c r="J44" s="566" t="s">
        <v>4</v>
      </c>
      <c r="K44" s="566" t="s">
        <v>4</v>
      </c>
      <c r="L44" s="542" t="s">
        <v>4</v>
      </c>
      <c r="M44" s="542" t="s">
        <v>4</v>
      </c>
      <c r="N44" s="542" t="s">
        <v>4</v>
      </c>
      <c r="O44" s="542" t="s">
        <v>4</v>
      </c>
      <c r="P44" s="624" t="s">
        <v>142</v>
      </c>
      <c r="Q44" s="624" t="s">
        <v>4</v>
      </c>
      <c r="R44" s="624" t="s">
        <v>142</v>
      </c>
      <c r="S44" s="624" t="s">
        <v>4</v>
      </c>
      <c r="T44" s="624" t="s">
        <v>142</v>
      </c>
      <c r="U44" s="624" t="s">
        <v>4</v>
      </c>
      <c r="V44" s="624" t="s">
        <v>142</v>
      </c>
      <c r="W44" s="624" t="s">
        <v>4</v>
      </c>
      <c r="X44" s="624" t="s">
        <v>142</v>
      </c>
      <c r="Y44" s="624" t="s">
        <v>142</v>
      </c>
      <c r="Z44" s="624" t="s">
        <v>4</v>
      </c>
      <c r="AA44" s="732" t="s">
        <v>4</v>
      </c>
      <c r="AB44" s="732" t="s">
        <v>4</v>
      </c>
      <c r="AC44" s="732" t="s">
        <v>4</v>
      </c>
      <c r="AD44" s="732" t="s">
        <v>4</v>
      </c>
      <c r="AE44" s="732" t="s">
        <v>4</v>
      </c>
      <c r="AF44" s="732" t="s">
        <v>4</v>
      </c>
      <c r="AG44" s="732" t="s">
        <v>4</v>
      </c>
      <c r="AH44" s="732" t="s">
        <v>4</v>
      </c>
      <c r="AI44" s="732" t="s">
        <v>4</v>
      </c>
      <c r="AJ44" s="732" t="s">
        <v>4</v>
      </c>
      <c r="AK44" s="732" t="s">
        <v>4</v>
      </c>
      <c r="AL44" s="732" t="s">
        <v>4</v>
      </c>
      <c r="AM44" s="732" t="s">
        <v>4</v>
      </c>
      <c r="AN44" s="732" t="s">
        <v>4</v>
      </c>
      <c r="AO44" s="733"/>
    </row>
    <row r="45" spans="1:41" s="661" customFormat="1" ht="39" customHeight="1" x14ac:dyDescent="0.2">
      <c r="A45" s="614">
        <v>37</v>
      </c>
      <c r="B45" s="623" t="s">
        <v>255</v>
      </c>
      <c r="C45" s="624"/>
      <c r="D45" s="624"/>
      <c r="E45" s="624" t="s">
        <v>4</v>
      </c>
      <c r="F45" s="625" t="s">
        <v>4</v>
      </c>
      <c r="G45" s="620" t="s">
        <v>4</v>
      </c>
      <c r="H45" s="816" t="s">
        <v>125</v>
      </c>
      <c r="I45" s="566" t="s">
        <v>4</v>
      </c>
      <c r="J45" s="566" t="s">
        <v>4</v>
      </c>
      <c r="K45" s="566" t="s">
        <v>4</v>
      </c>
      <c r="L45" s="542" t="s">
        <v>4</v>
      </c>
      <c r="M45" s="542" t="s">
        <v>4</v>
      </c>
      <c r="N45" s="542" t="s">
        <v>4</v>
      </c>
      <c r="O45" s="542" t="s">
        <v>4</v>
      </c>
      <c r="P45" s="624" t="s">
        <v>4</v>
      </c>
      <c r="Q45" s="624" t="s">
        <v>4</v>
      </c>
      <c r="R45" s="624" t="s">
        <v>4</v>
      </c>
      <c r="S45" s="624" t="s">
        <v>4</v>
      </c>
      <c r="T45" s="624" t="s">
        <v>4</v>
      </c>
      <c r="U45" s="624" t="s">
        <v>4</v>
      </c>
      <c r="V45" s="624" t="s">
        <v>4</v>
      </c>
      <c r="W45" s="624" t="s">
        <v>4</v>
      </c>
      <c r="X45" s="624" t="s">
        <v>4</v>
      </c>
      <c r="Y45" s="624" t="s">
        <v>4</v>
      </c>
      <c r="Z45" s="624" t="s">
        <v>4</v>
      </c>
      <c r="AA45" s="732" t="s">
        <v>4</v>
      </c>
      <c r="AB45" s="732" t="s">
        <v>4</v>
      </c>
      <c r="AC45" s="732" t="s">
        <v>4</v>
      </c>
      <c r="AD45" s="732" t="s">
        <v>4</v>
      </c>
      <c r="AE45" s="732" t="s">
        <v>4</v>
      </c>
      <c r="AF45" s="732" t="s">
        <v>4</v>
      </c>
      <c r="AG45" s="732" t="s">
        <v>4</v>
      </c>
      <c r="AH45" s="732" t="s">
        <v>4</v>
      </c>
      <c r="AI45" s="732" t="s">
        <v>4</v>
      </c>
      <c r="AJ45" s="732" t="s">
        <v>4</v>
      </c>
      <c r="AK45" s="732" t="s">
        <v>4</v>
      </c>
      <c r="AL45" s="732" t="s">
        <v>4</v>
      </c>
      <c r="AM45" s="732" t="s">
        <v>4</v>
      </c>
      <c r="AN45" s="732" t="s">
        <v>4</v>
      </c>
      <c r="AO45" s="733"/>
    </row>
    <row r="46" spans="1:41" s="661" customFormat="1" ht="39" customHeight="1" x14ac:dyDescent="0.2">
      <c r="A46" s="614">
        <v>38</v>
      </c>
      <c r="B46" s="623" t="s">
        <v>256</v>
      </c>
      <c r="C46" s="624"/>
      <c r="D46" s="624"/>
      <c r="E46" s="624" t="s">
        <v>4</v>
      </c>
      <c r="F46" s="625" t="s">
        <v>4</v>
      </c>
      <c r="G46" s="806" t="s">
        <v>4</v>
      </c>
      <c r="H46" s="614" t="s">
        <v>125</v>
      </c>
      <c r="I46" s="740" t="s">
        <v>4</v>
      </c>
      <c r="J46" s="566" t="s">
        <v>4</v>
      </c>
      <c r="K46" s="566" t="s">
        <v>4</v>
      </c>
      <c r="L46" s="542" t="s">
        <v>4</v>
      </c>
      <c r="M46" s="542" t="s">
        <v>4</v>
      </c>
      <c r="N46" s="542" t="s">
        <v>4</v>
      </c>
      <c r="O46" s="542" t="s">
        <v>4</v>
      </c>
      <c r="P46" s="624" t="s">
        <v>4</v>
      </c>
      <c r="Q46" s="624" t="s">
        <v>4</v>
      </c>
      <c r="R46" s="624" t="s">
        <v>4</v>
      </c>
      <c r="S46" s="624" t="s">
        <v>4</v>
      </c>
      <c r="T46" s="624" t="s">
        <v>4</v>
      </c>
      <c r="U46" s="624" t="s">
        <v>4</v>
      </c>
      <c r="V46" s="624" t="s">
        <v>4</v>
      </c>
      <c r="W46" s="624" t="s">
        <v>4</v>
      </c>
      <c r="X46" s="624" t="s">
        <v>4</v>
      </c>
      <c r="Y46" s="624" t="s">
        <v>4</v>
      </c>
      <c r="Z46" s="624" t="s">
        <v>4</v>
      </c>
      <c r="AA46" s="732" t="s">
        <v>4</v>
      </c>
      <c r="AB46" s="732" t="s">
        <v>4</v>
      </c>
      <c r="AC46" s="732" t="s">
        <v>4</v>
      </c>
      <c r="AD46" s="732" t="s">
        <v>4</v>
      </c>
      <c r="AE46" s="732" t="s">
        <v>4</v>
      </c>
      <c r="AF46" s="732" t="s">
        <v>4</v>
      </c>
      <c r="AG46" s="732" t="s">
        <v>4</v>
      </c>
      <c r="AH46" s="732" t="s">
        <v>4</v>
      </c>
      <c r="AI46" s="732" t="s">
        <v>4</v>
      </c>
      <c r="AJ46" s="732" t="s">
        <v>4</v>
      </c>
      <c r="AK46" s="732" t="s">
        <v>4</v>
      </c>
      <c r="AL46" s="732" t="s">
        <v>4</v>
      </c>
      <c r="AM46" s="732" t="s">
        <v>4</v>
      </c>
      <c r="AN46" s="732" t="s">
        <v>4</v>
      </c>
      <c r="AO46" s="733"/>
    </row>
    <row r="47" spans="1:41" s="769" customFormat="1" ht="39" customHeight="1" x14ac:dyDescent="0.2">
      <c r="A47" s="615">
        <v>39</v>
      </c>
      <c r="B47" s="626" t="s">
        <v>257</v>
      </c>
      <c r="C47" s="627"/>
      <c r="D47" s="627"/>
      <c r="E47" s="627" t="s">
        <v>4</v>
      </c>
      <c r="F47" s="628" t="s">
        <v>4</v>
      </c>
      <c r="G47" s="806" t="s">
        <v>222</v>
      </c>
      <c r="H47" s="614" t="s">
        <v>125</v>
      </c>
      <c r="I47" s="740" t="s">
        <v>4</v>
      </c>
      <c r="J47" s="566" t="s">
        <v>4</v>
      </c>
      <c r="K47" s="566" t="s">
        <v>4</v>
      </c>
      <c r="L47" s="542" t="s">
        <v>4</v>
      </c>
      <c r="M47" s="542" t="s">
        <v>4</v>
      </c>
      <c r="N47" s="542" t="s">
        <v>4</v>
      </c>
      <c r="O47" s="542" t="s">
        <v>4</v>
      </c>
      <c r="P47" s="627" t="s">
        <v>4</v>
      </c>
      <c r="Q47" s="627" t="s">
        <v>4</v>
      </c>
      <c r="R47" s="627" t="s">
        <v>4</v>
      </c>
      <c r="S47" s="627" t="s">
        <v>4</v>
      </c>
      <c r="T47" s="627" t="s">
        <v>4</v>
      </c>
      <c r="U47" s="627" t="s">
        <v>4</v>
      </c>
      <c r="V47" s="627" t="s">
        <v>4</v>
      </c>
      <c r="W47" s="627" t="s">
        <v>4</v>
      </c>
      <c r="X47" s="627" t="s">
        <v>4</v>
      </c>
      <c r="Y47" s="627" t="s">
        <v>4</v>
      </c>
      <c r="Z47" s="627" t="s">
        <v>50</v>
      </c>
      <c r="AA47" s="734" t="s">
        <v>4</v>
      </c>
      <c r="AB47" s="734" t="s">
        <v>4</v>
      </c>
      <c r="AC47" s="734" t="s">
        <v>4</v>
      </c>
      <c r="AD47" s="734" t="s">
        <v>4</v>
      </c>
      <c r="AE47" s="734" t="s">
        <v>4</v>
      </c>
      <c r="AF47" s="734" t="s">
        <v>4</v>
      </c>
      <c r="AG47" s="734" t="s">
        <v>4</v>
      </c>
      <c r="AH47" s="734" t="s">
        <v>4</v>
      </c>
      <c r="AI47" s="734" t="s">
        <v>4</v>
      </c>
      <c r="AJ47" s="734" t="s">
        <v>4</v>
      </c>
      <c r="AK47" s="734" t="s">
        <v>4</v>
      </c>
      <c r="AL47" s="734" t="s">
        <v>4</v>
      </c>
      <c r="AM47" s="734" t="s">
        <v>4</v>
      </c>
      <c r="AN47" s="734" t="s">
        <v>4</v>
      </c>
      <c r="AO47" s="768"/>
    </row>
    <row r="48" spans="1:41" s="661" customFormat="1" ht="39" customHeight="1" x14ac:dyDescent="0.2">
      <c r="A48" s="615">
        <v>40</v>
      </c>
      <c r="B48" s="741" t="s">
        <v>258</v>
      </c>
      <c r="C48" s="742"/>
      <c r="D48" s="742"/>
      <c r="E48" s="742" t="s">
        <v>4</v>
      </c>
      <c r="F48" s="736" t="s">
        <v>4</v>
      </c>
      <c r="G48" s="822" t="s">
        <v>259</v>
      </c>
      <c r="H48" s="614" t="s">
        <v>125</v>
      </c>
      <c r="I48" s="740" t="s">
        <v>4</v>
      </c>
      <c r="J48" s="566" t="s">
        <v>4</v>
      </c>
      <c r="K48" s="566" t="s">
        <v>4</v>
      </c>
      <c r="L48" s="542" t="s">
        <v>4</v>
      </c>
      <c r="M48" s="542" t="s">
        <v>4</v>
      </c>
      <c r="N48" s="542" t="s">
        <v>4</v>
      </c>
      <c r="O48" s="542" t="s">
        <v>4</v>
      </c>
      <c r="P48" s="743" t="s">
        <v>4</v>
      </c>
      <c r="Q48" s="743" t="s">
        <v>4</v>
      </c>
      <c r="R48" s="743" t="s">
        <v>4</v>
      </c>
      <c r="S48" s="743" t="s">
        <v>4</v>
      </c>
      <c r="T48" s="743" t="s">
        <v>4</v>
      </c>
      <c r="U48" s="743" t="s">
        <v>4</v>
      </c>
      <c r="V48" s="743" t="s">
        <v>4</v>
      </c>
      <c r="W48" s="743" t="s">
        <v>4</v>
      </c>
      <c r="X48" s="743" t="s">
        <v>4</v>
      </c>
      <c r="Y48" s="743" t="s">
        <v>4</v>
      </c>
      <c r="Z48" s="743" t="s">
        <v>4</v>
      </c>
      <c r="AA48" s="744" t="s">
        <v>4</v>
      </c>
      <c r="AB48" s="744" t="s">
        <v>4</v>
      </c>
      <c r="AC48" s="744" t="s">
        <v>4</v>
      </c>
      <c r="AD48" s="744" t="s">
        <v>4</v>
      </c>
      <c r="AE48" s="744" t="s">
        <v>4</v>
      </c>
      <c r="AF48" s="744" t="s">
        <v>4</v>
      </c>
      <c r="AG48" s="744" t="s">
        <v>4</v>
      </c>
      <c r="AH48" s="744" t="s">
        <v>4</v>
      </c>
      <c r="AI48" s="744" t="s">
        <v>4</v>
      </c>
      <c r="AJ48" s="744" t="s">
        <v>4</v>
      </c>
      <c r="AK48" s="744" t="s">
        <v>4</v>
      </c>
      <c r="AL48" s="744" t="s">
        <v>4</v>
      </c>
      <c r="AM48" s="744" t="s">
        <v>4</v>
      </c>
      <c r="AN48" s="744" t="s">
        <v>4</v>
      </c>
      <c r="AO48" s="733"/>
    </row>
    <row r="49" spans="1:41" s="661" customFormat="1" ht="39" customHeight="1" x14ac:dyDescent="0.2">
      <c r="A49" s="619">
        <v>41</v>
      </c>
      <c r="B49" s="738" t="s">
        <v>260</v>
      </c>
      <c r="C49" s="614"/>
      <c r="D49" s="614"/>
      <c r="E49" s="615"/>
      <c r="F49" s="753"/>
      <c r="G49" s="813" t="s">
        <v>261</v>
      </c>
      <c r="H49" s="614" t="s">
        <v>49</v>
      </c>
      <c r="I49" s="740"/>
      <c r="J49" s="566"/>
      <c r="K49" s="566"/>
      <c r="L49" s="737"/>
      <c r="M49" s="737"/>
      <c r="N49" s="737"/>
      <c r="O49" s="737"/>
      <c r="P49" s="818">
        <v>46171</v>
      </c>
      <c r="Q49" s="614"/>
      <c r="R49" s="819">
        <v>46178</v>
      </c>
      <c r="S49" s="614"/>
      <c r="T49" s="819">
        <v>46199</v>
      </c>
      <c r="U49" s="614"/>
      <c r="V49" s="614" t="s">
        <v>142</v>
      </c>
      <c r="W49" s="614"/>
      <c r="X49" s="819">
        <v>46199</v>
      </c>
      <c r="Y49" s="819">
        <v>46234</v>
      </c>
      <c r="Z49" s="614"/>
      <c r="AA49" s="739"/>
      <c r="AB49" s="739"/>
      <c r="AC49" s="739"/>
      <c r="AD49" s="739"/>
      <c r="AE49" s="739"/>
      <c r="AF49" s="739"/>
      <c r="AG49" s="739"/>
      <c r="AH49" s="739"/>
      <c r="AI49" s="739"/>
      <c r="AJ49" s="739"/>
      <c r="AK49" s="739"/>
      <c r="AL49" s="739"/>
      <c r="AM49" s="739"/>
      <c r="AN49" s="739"/>
      <c r="AO49" s="733"/>
    </row>
    <row r="50" spans="1:41" s="661" customFormat="1" ht="39" customHeight="1" x14ac:dyDescent="0.2">
      <c r="A50" s="619">
        <v>42</v>
      </c>
      <c r="B50" s="750" t="s">
        <v>262</v>
      </c>
      <c r="C50" s="754"/>
      <c r="D50" s="754"/>
      <c r="E50" s="754" t="s">
        <v>263</v>
      </c>
      <c r="F50" s="615"/>
      <c r="G50" s="619" t="s">
        <v>264</v>
      </c>
      <c r="H50" s="614" t="s">
        <v>265</v>
      </c>
      <c r="I50" s="740"/>
      <c r="J50" s="566"/>
      <c r="K50" s="566"/>
      <c r="L50" s="737"/>
      <c r="M50" s="737"/>
      <c r="N50" s="737"/>
      <c r="O50" s="737"/>
      <c r="P50" s="751"/>
      <c r="Q50" s="751"/>
      <c r="R50" s="751"/>
      <c r="S50" s="751"/>
      <c r="T50" s="751"/>
      <c r="U50" s="751"/>
      <c r="V50" s="751"/>
      <c r="W50" s="751"/>
      <c r="X50" s="751"/>
      <c r="Y50" s="751"/>
      <c r="Z50" s="751"/>
      <c r="AA50" s="752"/>
      <c r="AB50" s="752"/>
      <c r="AC50" s="752"/>
      <c r="AD50" s="752"/>
      <c r="AE50" s="752" t="s">
        <v>125</v>
      </c>
      <c r="AF50" s="752" t="s">
        <v>125</v>
      </c>
      <c r="AG50" s="752" t="s">
        <v>183</v>
      </c>
      <c r="AH50" s="752" t="s">
        <v>49</v>
      </c>
      <c r="AI50" s="752" t="s">
        <v>49</v>
      </c>
      <c r="AJ50" s="752" t="s">
        <v>49</v>
      </c>
      <c r="AK50" s="752" t="s">
        <v>125</v>
      </c>
      <c r="AL50" s="752" t="s">
        <v>125</v>
      </c>
      <c r="AM50" s="752"/>
      <c r="AN50" s="752"/>
      <c r="AO50" s="733"/>
    </row>
    <row r="51" spans="1:41" s="661" customFormat="1" ht="39" customHeight="1" x14ac:dyDescent="0.2">
      <c r="A51" s="614"/>
      <c r="B51" s="774" t="s">
        <v>266</v>
      </c>
      <c r="C51" s="775"/>
      <c r="D51" s="775"/>
      <c r="E51" s="751"/>
      <c r="F51" s="754"/>
      <c r="G51" s="814"/>
      <c r="H51" s="614"/>
      <c r="I51" s="815"/>
      <c r="J51" s="564"/>
      <c r="K51" s="578" t="s">
        <v>183</v>
      </c>
      <c r="L51" s="554"/>
      <c r="M51" s="526"/>
      <c r="N51" s="526"/>
      <c r="O51" s="574" t="s">
        <v>73</v>
      </c>
      <c r="P51" s="776"/>
      <c r="Q51" s="777"/>
      <c r="R51" s="776"/>
      <c r="S51" s="778"/>
      <c r="T51" s="776"/>
      <c r="U51" s="777"/>
      <c r="V51" s="776"/>
      <c r="W51" s="777"/>
      <c r="X51" s="776"/>
      <c r="Y51" s="779">
        <v>46296</v>
      </c>
      <c r="Z51" s="780"/>
      <c r="AA51" s="745"/>
      <c r="AB51" s="745"/>
      <c r="AC51" s="745"/>
      <c r="AD51" s="745"/>
      <c r="AE51" s="746"/>
      <c r="AF51" s="746"/>
      <c r="AG51" s="746"/>
      <c r="AH51" s="746"/>
      <c r="AI51" s="746"/>
      <c r="AJ51" s="746"/>
      <c r="AK51" s="746"/>
      <c r="AL51" s="746"/>
      <c r="AM51" s="745"/>
      <c r="AN51" s="745"/>
    </row>
    <row r="52" spans="1:41" ht="39" customHeight="1" x14ac:dyDescent="0.2">
      <c r="B52" s="630"/>
      <c r="C52" s="631"/>
      <c r="D52" s="631"/>
      <c r="E52" s="631"/>
      <c r="F52" s="631"/>
      <c r="G52" s="631"/>
    </row>
    <row r="53" spans="1:41" ht="15" customHeight="1" x14ac:dyDescent="0.2">
      <c r="B53" s="632" t="s">
        <v>267</v>
      </c>
      <c r="C53" s="755"/>
      <c r="D53" s="755"/>
      <c r="E53" s="830" t="s">
        <v>268</v>
      </c>
      <c r="F53" s="831"/>
      <c r="G53" s="633" t="s">
        <v>269</v>
      </c>
      <c r="H53" s="809"/>
    </row>
    <row r="54" spans="1:41" ht="107.5" customHeight="1" x14ac:dyDescent="0.2">
      <c r="B54" s="634" t="s">
        <v>270</v>
      </c>
      <c r="C54" s="756"/>
      <c r="D54" s="756"/>
      <c r="E54" s="832" t="s">
        <v>271</v>
      </c>
      <c r="F54" s="833"/>
      <c r="G54" s="613" t="s">
        <v>272</v>
      </c>
      <c r="H54" s="810"/>
    </row>
    <row r="55" spans="1:41" ht="85" customHeight="1" x14ac:dyDescent="0.2">
      <c r="B55" s="635" t="s">
        <v>273</v>
      </c>
      <c r="C55" s="767"/>
      <c r="D55" s="767"/>
      <c r="E55" s="834" t="s">
        <v>274</v>
      </c>
      <c r="F55" s="833"/>
      <c r="G55" s="613" t="s">
        <v>275</v>
      </c>
      <c r="H55" s="810"/>
    </row>
    <row r="56" spans="1:41" ht="67" customHeight="1" x14ac:dyDescent="0.2">
      <c r="B56" s="635" t="s">
        <v>276</v>
      </c>
      <c r="C56" s="767"/>
      <c r="D56" s="767"/>
      <c r="E56" s="832" t="s">
        <v>277</v>
      </c>
      <c r="F56" s="833"/>
      <c r="G56" s="613" t="s">
        <v>278</v>
      </c>
      <c r="H56" s="810"/>
    </row>
    <row r="57" spans="1:41" ht="15" customHeight="1" x14ac:dyDescent="0.2">
      <c r="B57" s="635" t="s">
        <v>279</v>
      </c>
      <c r="C57" s="636"/>
      <c r="D57" s="636"/>
      <c r="E57" s="823" t="s">
        <v>280</v>
      </c>
      <c r="F57" s="823"/>
      <c r="G57" s="636" t="s">
        <v>281</v>
      </c>
    </row>
    <row r="58" spans="1:41" ht="27" customHeight="1" x14ac:dyDescent="0.2">
      <c r="B58" s="634" t="s">
        <v>282</v>
      </c>
      <c r="C58" s="613"/>
      <c r="D58" s="613"/>
      <c r="E58" s="824" t="s">
        <v>283</v>
      </c>
      <c r="F58" s="824"/>
      <c r="G58" s="636" t="s">
        <v>284</v>
      </c>
    </row>
  </sheetData>
  <autoFilter ref="A2:AN51" xr:uid="{ED475C9E-2BBC-4C11-8D6A-E0206EFB2903}">
    <filterColumn colId="15">
      <filters>
        <filter val=" "/>
      </filters>
    </filterColumn>
  </autoFilter>
  <mergeCells count="8">
    <mergeCell ref="E57:F57"/>
    <mergeCell ref="E58:F58"/>
    <mergeCell ref="I1:O1"/>
    <mergeCell ref="X1:Y1"/>
    <mergeCell ref="E53:F53"/>
    <mergeCell ref="E54:F54"/>
    <mergeCell ref="E55:F55"/>
    <mergeCell ref="E56:F56"/>
  </mergeCells>
  <phoneticPr fontId="6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6B945-836F-4C2D-BDED-691A46B13523}">
  <dimension ref="A1:F7"/>
  <sheetViews>
    <sheetView zoomScale="180" zoomScaleNormal="180" workbookViewId="0">
      <selection activeCell="G5" sqref="G5"/>
    </sheetView>
  </sheetViews>
  <sheetFormatPr baseColWidth="10" defaultColWidth="8.83203125" defaultRowHeight="15" x14ac:dyDescent="0.2"/>
  <cols>
    <col min="1" max="1" width="4.5" style="8" customWidth="1"/>
    <col min="3" max="3" width="22" customWidth="1"/>
    <col min="4" max="4" width="16.1640625" customWidth="1"/>
    <col min="5" max="5" width="18.5" customWidth="1"/>
    <col min="6" max="6" width="19.5" customWidth="1"/>
  </cols>
  <sheetData>
    <row r="1" spans="1:6" x14ac:dyDescent="0.2">
      <c r="A1" s="41" t="s">
        <v>61</v>
      </c>
      <c r="B1" s="41" t="s">
        <v>285</v>
      </c>
      <c r="C1" s="41" t="s">
        <v>286</v>
      </c>
      <c r="D1" s="41" t="s">
        <v>287</v>
      </c>
      <c r="E1" s="41" t="s">
        <v>288</v>
      </c>
      <c r="F1" s="41" t="s">
        <v>289</v>
      </c>
    </row>
    <row r="2" spans="1:6" x14ac:dyDescent="0.2">
      <c r="A2" s="10">
        <v>1</v>
      </c>
      <c r="B2" s="33">
        <v>45868</v>
      </c>
      <c r="C2" s="10" t="s">
        <v>290</v>
      </c>
      <c r="D2" s="10" t="s">
        <v>291</v>
      </c>
      <c r="E2" s="32" t="s">
        <v>292</v>
      </c>
      <c r="F2" s="142">
        <v>45962</v>
      </c>
    </row>
    <row r="3" spans="1:6" x14ac:dyDescent="0.2">
      <c r="A3" s="10">
        <v>2</v>
      </c>
      <c r="B3" s="33">
        <v>45868</v>
      </c>
      <c r="C3" s="10" t="s">
        <v>293</v>
      </c>
      <c r="D3" s="10" t="s">
        <v>294</v>
      </c>
      <c r="E3" s="32" t="s">
        <v>292</v>
      </c>
      <c r="F3" s="142">
        <v>45962</v>
      </c>
    </row>
    <row r="4" spans="1:6" x14ac:dyDescent="0.2">
      <c r="A4" s="2"/>
      <c r="B4" s="15"/>
      <c r="C4" s="1"/>
      <c r="D4" s="1"/>
      <c r="E4" s="14"/>
      <c r="F4" s="1"/>
    </row>
    <row r="5" spans="1:6" x14ac:dyDescent="0.2">
      <c r="A5" s="2"/>
      <c r="B5" s="15"/>
      <c r="C5" s="1"/>
      <c r="D5" s="1"/>
      <c r="E5" s="14"/>
      <c r="F5" s="1"/>
    </row>
    <row r="6" spans="1:6" x14ac:dyDescent="0.2">
      <c r="A6" s="2"/>
      <c r="B6" s="15"/>
      <c r="C6" s="1"/>
      <c r="D6" s="1"/>
      <c r="E6" s="14"/>
      <c r="F6" s="1"/>
    </row>
    <row r="7" spans="1:6" x14ac:dyDescent="0.2">
      <c r="A7" s="2"/>
      <c r="B7" s="15"/>
      <c r="C7" s="1"/>
      <c r="D7" s="1"/>
      <c r="E7" s="14"/>
      <c r="F7" s="1"/>
    </row>
  </sheetData>
  <sheetProtection algorithmName="SHA-512" hashValue="srEUdw908Pt8oOZhP+tkJjA+xYJ90QqJuDWbkFJkVZBilGWjcVc8Pfsh7UJtUHSuWGhE9P7SvDeTL/ieaKuLZg==" saltValue="0bwCosfLRBfpbKPzUxgTp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C138-2327-4E7D-B521-313EE87B9ECF}">
  <dimension ref="A1:Y38"/>
  <sheetViews>
    <sheetView zoomScale="125" zoomScaleNormal="100" workbookViewId="0">
      <pane xSplit="2" ySplit="2" topLeftCell="D6" activePane="bottomRight" state="frozen"/>
      <selection pane="topRight"/>
      <selection pane="bottomLeft"/>
      <selection pane="bottomRight" activeCell="A12" sqref="A12:XFD12"/>
    </sheetView>
  </sheetViews>
  <sheetFormatPr baseColWidth="10" defaultColWidth="10.83203125" defaultRowHeight="15" customHeight="1" x14ac:dyDescent="0.2"/>
  <cols>
    <col min="1" max="1" width="3.5" style="253" bestFit="1" customWidth="1"/>
    <col min="2" max="2" width="36.5" style="253" customWidth="1"/>
    <col min="3" max="3" width="40.5" style="253" hidden="1" customWidth="1"/>
    <col min="4" max="5" width="12.5" style="271" customWidth="1"/>
    <col min="6" max="6" width="10.83203125" style="271" customWidth="1"/>
    <col min="7" max="7" width="12.5" style="271" hidden="1" customWidth="1"/>
    <col min="8" max="8" width="10.83203125" style="271" hidden="1" customWidth="1"/>
    <col min="9" max="12" width="12.5" style="271" hidden="1" customWidth="1"/>
    <col min="13" max="13" width="9.5" style="271" hidden="1" customWidth="1"/>
    <col min="14" max="14" width="9.5" style="271" customWidth="1"/>
    <col min="15" max="15" width="9.5" style="271" hidden="1" customWidth="1"/>
    <col min="16" max="16" width="21.1640625" style="271" customWidth="1"/>
    <col min="17" max="17" width="3.83203125" style="271" customWidth="1"/>
    <col min="18" max="21" width="9.5" style="271" customWidth="1"/>
    <col min="22" max="22" width="15.5" style="271" customWidth="1"/>
    <col min="23" max="23" width="37.5" style="271" customWidth="1"/>
    <col min="24" max="24" width="32.1640625" style="272" customWidth="1"/>
    <col min="25" max="25" width="28.5" style="253" customWidth="1"/>
    <col min="26" max="16384" width="10.83203125" style="253"/>
  </cols>
  <sheetData>
    <row r="1" spans="1:25" ht="15" customHeight="1" x14ac:dyDescent="0.2">
      <c r="A1" s="252"/>
      <c r="B1" s="253" t="s">
        <v>295</v>
      </c>
      <c r="C1" s="252"/>
      <c r="D1" s="254"/>
      <c r="E1" s="254"/>
      <c r="F1" s="254"/>
      <c r="G1" s="835" t="s">
        <v>1</v>
      </c>
      <c r="H1" s="836"/>
      <c r="I1" s="836"/>
      <c r="J1" s="836"/>
      <c r="K1" s="836"/>
      <c r="L1" s="837"/>
      <c r="M1" s="838" t="s">
        <v>2</v>
      </c>
      <c r="N1" s="838"/>
      <c r="O1" s="838"/>
      <c r="P1" s="838"/>
      <c r="Q1" s="838"/>
      <c r="R1" s="838"/>
      <c r="S1" s="838"/>
      <c r="T1" s="839"/>
      <c r="U1" s="838" t="s">
        <v>3</v>
      </c>
      <c r="V1" s="839"/>
      <c r="W1" s="255" t="s">
        <v>4</v>
      </c>
      <c r="X1" s="255" t="s">
        <v>4</v>
      </c>
    </row>
    <row r="2" spans="1:25" ht="80.5" customHeight="1" x14ac:dyDescent="0.2">
      <c r="A2" s="256" t="s">
        <v>5</v>
      </c>
      <c r="B2" s="317" t="s">
        <v>6</v>
      </c>
      <c r="C2" s="256" t="s">
        <v>6</v>
      </c>
      <c r="D2" s="317" t="s">
        <v>9</v>
      </c>
      <c r="E2" s="317" t="s">
        <v>10</v>
      </c>
      <c r="F2" s="256" t="s">
        <v>11</v>
      </c>
      <c r="G2" s="318" t="s">
        <v>13</v>
      </c>
      <c r="H2" s="318" t="s">
        <v>15</v>
      </c>
      <c r="I2" s="318" t="s">
        <v>16</v>
      </c>
      <c r="J2" s="318" t="s">
        <v>17</v>
      </c>
      <c r="K2" s="318" t="s">
        <v>18</v>
      </c>
      <c r="L2" s="318" t="s">
        <v>19</v>
      </c>
      <c r="M2" s="319" t="s">
        <v>20</v>
      </c>
      <c r="N2" s="319" t="s">
        <v>21</v>
      </c>
      <c r="O2" s="319" t="s">
        <v>22</v>
      </c>
      <c r="P2" s="319" t="s">
        <v>23</v>
      </c>
      <c r="Q2" s="319" t="s">
        <v>24</v>
      </c>
      <c r="R2" s="320" t="s">
        <v>25</v>
      </c>
      <c r="S2" s="319" t="s">
        <v>296</v>
      </c>
      <c r="T2" s="320" t="s">
        <v>27</v>
      </c>
      <c r="U2" s="319" t="s">
        <v>297</v>
      </c>
      <c r="V2" s="319" t="s">
        <v>29</v>
      </c>
      <c r="W2" s="311" t="s">
        <v>298</v>
      </c>
      <c r="X2" s="312" t="s">
        <v>299</v>
      </c>
      <c r="Y2" s="312" t="s">
        <v>300</v>
      </c>
    </row>
    <row r="3" spans="1:25" s="258" customFormat="1" ht="54" customHeight="1" x14ac:dyDescent="0.2">
      <c r="A3" s="283">
        <v>1</v>
      </c>
      <c r="B3" s="321" t="s">
        <v>45</v>
      </c>
      <c r="C3" s="282" t="s">
        <v>45</v>
      </c>
      <c r="D3" s="294" t="s">
        <v>46</v>
      </c>
      <c r="E3" s="294" t="s">
        <v>47</v>
      </c>
      <c r="F3" s="294" t="s">
        <v>48</v>
      </c>
      <c r="G3" s="282" t="s">
        <v>50</v>
      </c>
      <c r="H3" s="282" t="s">
        <v>50</v>
      </c>
      <c r="I3" s="282" t="s">
        <v>50</v>
      </c>
      <c r="J3" s="282" t="s">
        <v>50</v>
      </c>
      <c r="K3" s="282" t="s">
        <v>50</v>
      </c>
      <c r="L3" s="282" t="s">
        <v>50</v>
      </c>
      <c r="M3" s="285">
        <v>45853</v>
      </c>
      <c r="N3" s="285">
        <v>45853</v>
      </c>
      <c r="O3" s="285">
        <v>45884</v>
      </c>
      <c r="P3" s="285">
        <v>45884</v>
      </c>
      <c r="Q3" s="285">
        <v>45884</v>
      </c>
      <c r="R3" s="285">
        <v>45884</v>
      </c>
      <c r="S3" s="285">
        <v>45926</v>
      </c>
      <c r="T3" s="285">
        <v>45926</v>
      </c>
      <c r="U3" s="285">
        <v>45948</v>
      </c>
      <c r="V3" s="322">
        <v>45963</v>
      </c>
      <c r="W3" s="275" t="s">
        <v>50</v>
      </c>
      <c r="X3" s="354" t="s">
        <v>301</v>
      </c>
    </row>
    <row r="4" spans="1:25" s="258" customFormat="1" ht="133.5" customHeight="1" x14ac:dyDescent="0.2">
      <c r="A4" s="283">
        <v>2</v>
      </c>
      <c r="B4" s="321" t="s">
        <v>52</v>
      </c>
      <c r="C4" s="282" t="s">
        <v>52</v>
      </c>
      <c r="D4" s="294" t="s">
        <v>53</v>
      </c>
      <c r="E4" s="294" t="s">
        <v>54</v>
      </c>
      <c r="F4" s="294" t="s">
        <v>55</v>
      </c>
      <c r="G4" s="282" t="s">
        <v>50</v>
      </c>
      <c r="H4" s="282" t="s">
        <v>50</v>
      </c>
      <c r="I4" s="282" t="s">
        <v>50</v>
      </c>
      <c r="J4" s="282" t="s">
        <v>50</v>
      </c>
      <c r="K4" s="282" t="s">
        <v>50</v>
      </c>
      <c r="L4" s="282" t="s">
        <v>50</v>
      </c>
      <c r="M4" s="285">
        <v>45853</v>
      </c>
      <c r="N4" s="285">
        <v>45853</v>
      </c>
      <c r="O4" s="285">
        <v>45884</v>
      </c>
      <c r="P4" s="285">
        <v>45884</v>
      </c>
      <c r="Q4" s="323">
        <v>45884</v>
      </c>
      <c r="R4" s="285">
        <v>45884</v>
      </c>
      <c r="S4" s="325">
        <v>45926</v>
      </c>
      <c r="T4" s="285">
        <v>45926</v>
      </c>
      <c r="U4" s="323">
        <v>45990</v>
      </c>
      <c r="V4" s="323">
        <v>46004</v>
      </c>
      <c r="W4" t="s">
        <v>302</v>
      </c>
      <c r="X4" s="257" t="s">
        <v>303</v>
      </c>
    </row>
    <row r="5" spans="1:25" s="258" customFormat="1" ht="35.25" customHeight="1" x14ac:dyDescent="0.2">
      <c r="A5" s="283">
        <v>3</v>
      </c>
      <c r="B5" s="321" t="s">
        <v>65</v>
      </c>
      <c r="C5" s="282" t="s">
        <v>65</v>
      </c>
      <c r="D5" s="294" t="s">
        <v>66</v>
      </c>
      <c r="E5" s="294" t="s">
        <v>67</v>
      </c>
      <c r="F5" s="294" t="s">
        <v>304</v>
      </c>
      <c r="G5" s="282" t="s">
        <v>50</v>
      </c>
      <c r="H5" s="324">
        <v>45915</v>
      </c>
      <c r="I5" s="282" t="s">
        <v>50</v>
      </c>
      <c r="J5" s="282" t="s">
        <v>50</v>
      </c>
      <c r="K5" s="282" t="s">
        <v>50</v>
      </c>
      <c r="L5" s="282" t="s">
        <v>50</v>
      </c>
      <c r="M5" s="285">
        <v>45915</v>
      </c>
      <c r="N5" s="285">
        <v>45929</v>
      </c>
      <c r="O5" s="325">
        <v>45930</v>
      </c>
      <c r="P5" s="325">
        <v>45954</v>
      </c>
      <c r="Q5" s="325">
        <v>45945</v>
      </c>
      <c r="R5" s="308">
        <v>45979</v>
      </c>
      <c r="S5" s="308">
        <v>45945</v>
      </c>
      <c r="T5" s="308">
        <v>45979</v>
      </c>
      <c r="U5" s="308">
        <v>46037</v>
      </c>
      <c r="V5" s="339">
        <v>46044</v>
      </c>
      <c r="W5" s="314" t="s">
        <v>305</v>
      </c>
      <c r="X5" s="305" t="s">
        <v>306</v>
      </c>
    </row>
    <row r="6" spans="1:25" s="258" customFormat="1" ht="35.25" customHeight="1" x14ac:dyDescent="0.2">
      <c r="A6" s="283">
        <v>4</v>
      </c>
      <c r="B6" s="326" t="s">
        <v>76</v>
      </c>
      <c r="C6" s="327" t="s">
        <v>76</v>
      </c>
      <c r="D6" s="294" t="s">
        <v>77</v>
      </c>
      <c r="E6" s="294" t="s">
        <v>78</v>
      </c>
      <c r="F6" s="294" t="s">
        <v>307</v>
      </c>
      <c r="G6" s="282" t="s">
        <v>50</v>
      </c>
      <c r="H6" s="328">
        <v>45943</v>
      </c>
      <c r="I6" s="294" t="s">
        <v>4</v>
      </c>
      <c r="J6" s="294" t="s">
        <v>4</v>
      </c>
      <c r="K6" s="294" t="s">
        <v>4</v>
      </c>
      <c r="L6" s="294" t="s">
        <v>4</v>
      </c>
      <c r="M6" s="325">
        <v>45943</v>
      </c>
      <c r="N6" s="313">
        <v>45974</v>
      </c>
      <c r="O6" s="310">
        <v>45961</v>
      </c>
      <c r="P6" s="308"/>
      <c r="Q6" s="310">
        <v>45961</v>
      </c>
      <c r="R6" s="308"/>
      <c r="S6" s="308">
        <v>45991</v>
      </c>
      <c r="T6" s="308">
        <v>46006</v>
      </c>
      <c r="U6" s="308" t="s">
        <v>142</v>
      </c>
      <c r="V6" s="339">
        <v>46025</v>
      </c>
      <c r="W6" s="315" t="s">
        <v>308</v>
      </c>
      <c r="X6" s="303" t="s">
        <v>50</v>
      </c>
    </row>
    <row r="7" spans="1:25" s="258" customFormat="1" ht="41.5" customHeight="1" x14ac:dyDescent="0.2">
      <c r="A7" s="283">
        <v>5</v>
      </c>
      <c r="B7" s="321" t="s">
        <v>85</v>
      </c>
      <c r="C7" s="282" t="s">
        <v>85</v>
      </c>
      <c r="D7" s="294" t="s">
        <v>77</v>
      </c>
      <c r="E7" s="294" t="s">
        <v>86</v>
      </c>
      <c r="F7" s="294" t="s">
        <v>87</v>
      </c>
      <c r="G7" s="328">
        <v>45868</v>
      </c>
      <c r="H7" s="329" t="s">
        <v>88</v>
      </c>
      <c r="I7" s="282" t="s">
        <v>50</v>
      </c>
      <c r="J7" s="282" t="s">
        <v>50</v>
      </c>
      <c r="K7" s="282" t="s">
        <v>50</v>
      </c>
      <c r="L7" s="282" t="s">
        <v>50</v>
      </c>
      <c r="M7" s="325">
        <v>45915</v>
      </c>
      <c r="N7" s="308">
        <v>45951</v>
      </c>
      <c r="O7" s="310">
        <v>45961</v>
      </c>
      <c r="P7" s="308">
        <v>45960</v>
      </c>
      <c r="Q7" s="310">
        <v>45961</v>
      </c>
      <c r="R7" s="308">
        <v>45971</v>
      </c>
      <c r="S7" s="330">
        <v>45991</v>
      </c>
      <c r="T7" s="308">
        <v>46006</v>
      </c>
      <c r="U7" s="308">
        <v>45963</v>
      </c>
      <c r="V7" s="310">
        <v>45660</v>
      </c>
      <c r="W7" s="316" t="s">
        <v>309</v>
      </c>
      <c r="X7" s="303" t="s">
        <v>310</v>
      </c>
    </row>
    <row r="8" spans="1:25" s="260" customFormat="1" ht="35.25" customHeight="1" x14ac:dyDescent="0.2">
      <c r="A8" s="283">
        <v>6</v>
      </c>
      <c r="B8" s="331" t="s">
        <v>311</v>
      </c>
      <c r="C8" s="332" t="s">
        <v>311</v>
      </c>
      <c r="D8" s="294" t="s">
        <v>149</v>
      </c>
      <c r="E8" s="294" t="s">
        <v>150</v>
      </c>
      <c r="F8" s="294" t="s">
        <v>312</v>
      </c>
      <c r="G8" s="324">
        <v>45917</v>
      </c>
      <c r="H8" s="329" t="s">
        <v>152</v>
      </c>
      <c r="I8" s="294" t="s">
        <v>4</v>
      </c>
      <c r="J8" s="294" t="s">
        <v>4</v>
      </c>
      <c r="K8" s="294" t="s">
        <v>4</v>
      </c>
      <c r="L8" s="294" t="s">
        <v>4</v>
      </c>
      <c r="M8" s="308">
        <v>46037</v>
      </c>
      <c r="N8" s="333">
        <v>46037</v>
      </c>
      <c r="O8" s="341">
        <v>46037</v>
      </c>
      <c r="P8" s="333">
        <v>46054</v>
      </c>
      <c r="Q8" s="341">
        <v>46068</v>
      </c>
      <c r="R8" s="333">
        <v>46068</v>
      </c>
      <c r="S8" s="341">
        <v>46096</v>
      </c>
      <c r="T8" s="333">
        <v>46096</v>
      </c>
      <c r="U8" s="308">
        <v>46113</v>
      </c>
      <c r="V8" s="333">
        <v>46113</v>
      </c>
      <c r="W8" s="316" t="s">
        <v>309</v>
      </c>
      <c r="X8" s="304" t="s">
        <v>4</v>
      </c>
    </row>
    <row r="9" spans="1:25" s="258" customFormat="1" ht="35.25" customHeight="1" x14ac:dyDescent="0.2">
      <c r="A9" s="283">
        <v>7</v>
      </c>
      <c r="B9" s="334" t="s">
        <v>313</v>
      </c>
      <c r="C9" s="335" t="s">
        <v>313</v>
      </c>
      <c r="D9" s="294" t="s">
        <v>314</v>
      </c>
      <c r="E9" s="294" t="s">
        <v>97</v>
      </c>
      <c r="F9" s="294" t="s">
        <v>98</v>
      </c>
      <c r="G9" s="324">
        <v>45917</v>
      </c>
      <c r="H9" s="324">
        <v>45859</v>
      </c>
      <c r="I9" s="294" t="s">
        <v>4</v>
      </c>
      <c r="J9" s="294" t="s">
        <v>4</v>
      </c>
      <c r="K9" s="294" t="s">
        <v>4</v>
      </c>
      <c r="L9" s="294" t="s">
        <v>4</v>
      </c>
      <c r="M9" s="325">
        <v>45943</v>
      </c>
      <c r="N9" s="337">
        <v>45951</v>
      </c>
      <c r="O9" s="340">
        <v>45951</v>
      </c>
      <c r="P9" s="337">
        <v>45951</v>
      </c>
      <c r="Q9" s="308">
        <v>45981</v>
      </c>
      <c r="R9" s="333">
        <v>45981</v>
      </c>
      <c r="S9" s="308">
        <v>46006</v>
      </c>
      <c r="T9" s="333">
        <v>46006</v>
      </c>
      <c r="U9" s="308" t="s">
        <v>142</v>
      </c>
      <c r="V9" s="333">
        <v>46025</v>
      </c>
      <c r="W9" s="345"/>
      <c r="X9" s="303" t="s">
        <v>315</v>
      </c>
    </row>
    <row r="10" spans="1:25" s="258" customFormat="1" ht="43" customHeight="1" x14ac:dyDescent="0.2">
      <c r="A10" s="283">
        <v>8</v>
      </c>
      <c r="B10" s="334" t="s">
        <v>108</v>
      </c>
      <c r="C10" s="335" t="s">
        <v>108</v>
      </c>
      <c r="D10" s="294" t="s">
        <v>109</v>
      </c>
      <c r="E10" s="294" t="s">
        <v>110</v>
      </c>
      <c r="F10" s="294" t="s">
        <v>111</v>
      </c>
      <c r="G10" s="324">
        <v>45917</v>
      </c>
      <c r="H10" s="324">
        <v>45929</v>
      </c>
      <c r="I10" s="294" t="s">
        <v>93</v>
      </c>
      <c r="J10" s="294" t="s">
        <v>4</v>
      </c>
      <c r="K10" s="294" t="s">
        <v>4</v>
      </c>
      <c r="L10" s="294" t="s">
        <v>4</v>
      </c>
      <c r="M10" s="336">
        <v>45943</v>
      </c>
      <c r="N10" s="337">
        <v>45951</v>
      </c>
      <c r="O10" s="285">
        <v>45957</v>
      </c>
      <c r="P10" s="337">
        <v>45951</v>
      </c>
      <c r="Q10" s="325">
        <v>45957</v>
      </c>
      <c r="R10" s="333">
        <v>45968</v>
      </c>
      <c r="S10" s="308">
        <v>45991</v>
      </c>
      <c r="T10" s="333">
        <v>45991</v>
      </c>
      <c r="U10" s="308" t="s">
        <v>142</v>
      </c>
      <c r="V10" s="346">
        <v>46026</v>
      </c>
      <c r="W10" s="347"/>
      <c r="X10" s="303" t="s">
        <v>316</v>
      </c>
    </row>
    <row r="11" spans="1:25" s="258" customFormat="1" ht="52.5" customHeight="1" x14ac:dyDescent="0.2">
      <c r="A11" s="283">
        <v>9</v>
      </c>
      <c r="B11" s="334" t="s">
        <v>126</v>
      </c>
      <c r="C11" s="335" t="s">
        <v>126</v>
      </c>
      <c r="D11" s="294" t="s">
        <v>127</v>
      </c>
      <c r="E11" s="294" t="s">
        <v>317</v>
      </c>
      <c r="F11" s="294" t="s">
        <v>129</v>
      </c>
      <c r="G11" s="324">
        <v>45917</v>
      </c>
      <c r="H11" s="324">
        <v>45929</v>
      </c>
      <c r="I11" s="338" t="s">
        <v>4</v>
      </c>
      <c r="J11" s="338" t="s">
        <v>4</v>
      </c>
      <c r="K11" s="338" t="s">
        <v>4</v>
      </c>
      <c r="L11" s="338" t="s">
        <v>4</v>
      </c>
      <c r="M11" s="325">
        <v>45943</v>
      </c>
      <c r="N11" s="337">
        <v>45951</v>
      </c>
      <c r="O11" s="343">
        <v>45943</v>
      </c>
      <c r="P11" s="337">
        <v>45951</v>
      </c>
      <c r="Q11" s="308">
        <v>45961</v>
      </c>
      <c r="R11" s="333">
        <v>45968</v>
      </c>
      <c r="S11" s="308">
        <v>45972</v>
      </c>
      <c r="T11" s="333">
        <v>45978</v>
      </c>
      <c r="U11" s="308" t="s">
        <v>142</v>
      </c>
      <c r="V11" s="353">
        <v>46022</v>
      </c>
      <c r="W11" s="347" t="s">
        <v>318</v>
      </c>
      <c r="X11" s="303" t="s">
        <v>319</v>
      </c>
    </row>
    <row r="12" spans="1:25" s="258" customFormat="1" ht="35.25" customHeight="1" x14ac:dyDescent="0.2">
      <c r="A12" s="283">
        <v>10</v>
      </c>
      <c r="B12" s="321" t="s">
        <v>320</v>
      </c>
      <c r="C12" s="282" t="s">
        <v>320</v>
      </c>
      <c r="D12" s="294" t="s">
        <v>136</v>
      </c>
      <c r="E12" s="294" t="s">
        <v>137</v>
      </c>
      <c r="F12" s="294" t="s">
        <v>129</v>
      </c>
      <c r="G12" s="324">
        <v>45917</v>
      </c>
      <c r="H12" s="329" t="s">
        <v>138</v>
      </c>
      <c r="I12" s="294" t="s">
        <v>4</v>
      </c>
      <c r="J12" s="294" t="s">
        <v>4</v>
      </c>
      <c r="K12" s="294" t="s">
        <v>4</v>
      </c>
      <c r="L12" s="294" t="s">
        <v>4</v>
      </c>
      <c r="M12" s="325">
        <v>45955</v>
      </c>
      <c r="N12" s="337">
        <v>45954</v>
      </c>
      <c r="O12" s="308">
        <v>45986</v>
      </c>
      <c r="P12" s="333">
        <v>45958</v>
      </c>
      <c r="Q12" s="308">
        <v>45986</v>
      </c>
      <c r="R12" s="333">
        <v>45989</v>
      </c>
      <c r="S12" s="308">
        <v>46024</v>
      </c>
      <c r="T12" s="333">
        <v>46024</v>
      </c>
      <c r="U12" s="308" t="s">
        <v>142</v>
      </c>
      <c r="V12" s="353">
        <v>45986</v>
      </c>
      <c r="W12" s="307"/>
      <c r="X12" s="259" t="s">
        <v>321</v>
      </c>
    </row>
    <row r="13" spans="1:25" s="258" customFormat="1" ht="55.5" customHeight="1" x14ac:dyDescent="0.2">
      <c r="A13" s="286">
        <v>11</v>
      </c>
      <c r="B13" s="299" t="s">
        <v>322</v>
      </c>
      <c r="C13" s="288" t="s">
        <v>323</v>
      </c>
      <c r="D13" s="281" t="s">
        <v>156</v>
      </c>
      <c r="E13" s="281" t="s">
        <v>157</v>
      </c>
      <c r="F13" s="281" t="s">
        <v>324</v>
      </c>
      <c r="G13" s="287">
        <v>45917</v>
      </c>
      <c r="H13" s="287">
        <v>45901</v>
      </c>
      <c r="I13" s="289"/>
      <c r="J13" s="289"/>
      <c r="K13" s="289" t="s">
        <v>4</v>
      </c>
      <c r="L13" s="289" t="s">
        <v>4</v>
      </c>
      <c r="M13" s="300">
        <v>45950</v>
      </c>
      <c r="N13" s="309">
        <v>45959</v>
      </c>
      <c r="O13" s="274">
        <v>46006</v>
      </c>
      <c r="P13" s="309">
        <v>46006</v>
      </c>
      <c r="Q13" s="274">
        <v>46037</v>
      </c>
      <c r="R13" s="309">
        <v>46037</v>
      </c>
      <c r="S13" s="274">
        <v>46068</v>
      </c>
      <c r="T13" s="309">
        <v>46068</v>
      </c>
      <c r="U13" s="274">
        <v>46096</v>
      </c>
      <c r="V13" s="342">
        <v>46223</v>
      </c>
      <c r="W13" s="344" t="s">
        <v>325</v>
      </c>
      <c r="X13" s="259" t="s">
        <v>326</v>
      </c>
    </row>
    <row r="14" spans="1:25" s="258" customFormat="1" ht="29.25" customHeight="1" x14ac:dyDescent="0.2">
      <c r="A14" s="290">
        <v>12</v>
      </c>
      <c r="B14" s="291" t="s">
        <v>180</v>
      </c>
      <c r="C14" s="291" t="s">
        <v>180</v>
      </c>
      <c r="D14" s="292" t="s">
        <v>181</v>
      </c>
      <c r="E14" s="281" t="s">
        <v>182</v>
      </c>
      <c r="F14" s="293" t="s">
        <v>4</v>
      </c>
      <c r="G14" s="293" t="s">
        <v>4</v>
      </c>
      <c r="H14" s="293" t="s">
        <v>4</v>
      </c>
      <c r="I14" s="293" t="s">
        <v>4</v>
      </c>
      <c r="J14" s="293" t="s">
        <v>4</v>
      </c>
      <c r="K14" s="293" t="s">
        <v>4</v>
      </c>
      <c r="L14" s="293" t="s">
        <v>4</v>
      </c>
      <c r="M14" s="273">
        <v>45955</v>
      </c>
      <c r="N14" s="301">
        <v>46006</v>
      </c>
      <c r="O14" s="273" t="s">
        <v>4</v>
      </c>
      <c r="P14" s="301">
        <v>46037</v>
      </c>
      <c r="Q14" s="273" t="s">
        <v>4</v>
      </c>
      <c r="R14" s="301">
        <v>46068</v>
      </c>
      <c r="S14" s="273" t="s">
        <v>4</v>
      </c>
      <c r="T14" s="301">
        <v>46096</v>
      </c>
      <c r="U14" s="273" t="s">
        <v>183</v>
      </c>
      <c r="V14" s="307" t="s">
        <v>183</v>
      </c>
      <c r="W14" s="307"/>
      <c r="X14" s="259" t="s">
        <v>4</v>
      </c>
    </row>
    <row r="15" spans="1:25" s="258" customFormat="1" ht="30" x14ac:dyDescent="0.2">
      <c r="A15" s="294">
        <v>13</v>
      </c>
      <c r="B15" s="295" t="s">
        <v>327</v>
      </c>
      <c r="C15" s="295" t="s">
        <v>327</v>
      </c>
      <c r="D15" s="281" t="s">
        <v>204</v>
      </c>
      <c r="E15" s="281" t="s">
        <v>328</v>
      </c>
      <c r="F15" s="281" t="s">
        <v>329</v>
      </c>
      <c r="G15" s="281" t="s">
        <v>4</v>
      </c>
      <c r="H15" s="281" t="s">
        <v>330</v>
      </c>
      <c r="I15" s="281" t="s">
        <v>4</v>
      </c>
      <c r="J15" s="281" t="s">
        <v>4</v>
      </c>
      <c r="K15" s="281" t="s">
        <v>4</v>
      </c>
      <c r="L15" s="281" t="s">
        <v>4</v>
      </c>
      <c r="M15" s="273">
        <v>46037</v>
      </c>
      <c r="N15" s="301">
        <v>46037</v>
      </c>
      <c r="O15" s="273" t="s">
        <v>4</v>
      </c>
      <c r="P15" s="301">
        <v>46068</v>
      </c>
      <c r="Q15" s="273">
        <v>46068</v>
      </c>
      <c r="R15" s="301">
        <v>46096</v>
      </c>
      <c r="S15" s="273">
        <v>46096</v>
      </c>
      <c r="T15" s="301">
        <v>46127</v>
      </c>
      <c r="U15" s="273" t="s">
        <v>4</v>
      </c>
      <c r="V15" s="306">
        <v>46174</v>
      </c>
      <c r="W15" s="306"/>
      <c r="X15" s="259" t="s">
        <v>4</v>
      </c>
    </row>
    <row r="16" spans="1:25" s="258" customFormat="1" ht="15" customHeight="1" x14ac:dyDescent="0.2">
      <c r="A16" s="296">
        <v>14</v>
      </c>
      <c r="B16" s="295" t="s">
        <v>331</v>
      </c>
      <c r="C16" s="295" t="s">
        <v>331</v>
      </c>
      <c r="D16" s="281" t="s">
        <v>186</v>
      </c>
      <c r="E16" s="281" t="s">
        <v>4</v>
      </c>
      <c r="F16" s="281" t="s">
        <v>281</v>
      </c>
      <c r="G16" s="281" t="s">
        <v>4</v>
      </c>
      <c r="H16" s="281" t="s">
        <v>4</v>
      </c>
      <c r="I16" s="281" t="s">
        <v>4</v>
      </c>
      <c r="J16" s="281" t="s">
        <v>4</v>
      </c>
      <c r="K16" s="281" t="s">
        <v>4</v>
      </c>
      <c r="L16" s="281" t="s">
        <v>4</v>
      </c>
      <c r="M16" s="273">
        <v>46027</v>
      </c>
      <c r="N16" s="301">
        <v>46027</v>
      </c>
      <c r="O16" s="273" t="s">
        <v>4</v>
      </c>
      <c r="P16" s="301">
        <v>46068</v>
      </c>
      <c r="Q16" s="273">
        <v>46054</v>
      </c>
      <c r="R16" s="301">
        <v>46096</v>
      </c>
      <c r="S16" s="273">
        <v>46082</v>
      </c>
      <c r="T16" s="301">
        <v>46127</v>
      </c>
      <c r="U16" s="273" t="s">
        <v>4</v>
      </c>
      <c r="V16" s="306">
        <v>46107</v>
      </c>
      <c r="W16" s="306"/>
      <c r="X16" s="259" t="s">
        <v>4</v>
      </c>
    </row>
    <row r="17" spans="1:24" s="258" customFormat="1" ht="30" x14ac:dyDescent="0.2">
      <c r="A17" s="296">
        <v>15</v>
      </c>
      <c r="B17" s="295" t="s">
        <v>332</v>
      </c>
      <c r="C17" s="295" t="s">
        <v>332</v>
      </c>
      <c r="D17" s="281" t="s">
        <v>251</v>
      </c>
      <c r="E17" s="281" t="s">
        <v>4</v>
      </c>
      <c r="F17" s="281" t="s">
        <v>333</v>
      </c>
      <c r="G17" s="281" t="s">
        <v>4</v>
      </c>
      <c r="H17" s="281" t="s">
        <v>4</v>
      </c>
      <c r="I17" s="281" t="s">
        <v>4</v>
      </c>
      <c r="J17" s="281" t="s">
        <v>4</v>
      </c>
      <c r="K17" s="281" t="s">
        <v>4</v>
      </c>
      <c r="L17" s="281" t="s">
        <v>4</v>
      </c>
      <c r="M17" s="273">
        <v>46037</v>
      </c>
      <c r="N17" s="301">
        <v>46037</v>
      </c>
      <c r="O17" s="273" t="s">
        <v>4</v>
      </c>
      <c r="P17" s="301">
        <v>46068</v>
      </c>
      <c r="Q17" s="273">
        <v>46068</v>
      </c>
      <c r="R17" s="301">
        <v>46096</v>
      </c>
      <c r="S17" s="273">
        <v>46096</v>
      </c>
      <c r="T17" s="301">
        <v>46127</v>
      </c>
      <c r="U17" s="273" t="s">
        <v>4</v>
      </c>
      <c r="V17" s="306">
        <v>46174</v>
      </c>
      <c r="W17" s="306"/>
      <c r="X17" s="259" t="s">
        <v>4</v>
      </c>
    </row>
    <row r="18" spans="1:24" s="258" customFormat="1" ht="30" x14ac:dyDescent="0.2">
      <c r="A18" s="290">
        <v>16</v>
      </c>
      <c r="B18" s="295" t="s">
        <v>194</v>
      </c>
      <c r="C18" s="295" t="s">
        <v>334</v>
      </c>
      <c r="D18" s="281" t="s">
        <v>314</v>
      </c>
      <c r="E18" s="281" t="s">
        <v>4</v>
      </c>
      <c r="F18" s="281" t="s">
        <v>335</v>
      </c>
      <c r="G18" s="281" t="s">
        <v>4</v>
      </c>
      <c r="H18" s="281" t="s">
        <v>118</v>
      </c>
      <c r="I18" s="281" t="s">
        <v>4</v>
      </c>
      <c r="J18" s="281" t="s">
        <v>4</v>
      </c>
      <c r="K18" s="281" t="s">
        <v>4</v>
      </c>
      <c r="L18" s="281" t="s">
        <v>4</v>
      </c>
      <c r="M18" s="273">
        <v>46027</v>
      </c>
      <c r="N18" s="301">
        <v>46027</v>
      </c>
      <c r="O18" s="273" t="s">
        <v>4</v>
      </c>
      <c r="P18" s="301">
        <v>46068</v>
      </c>
      <c r="Q18" s="273" t="s">
        <v>336</v>
      </c>
      <c r="R18" s="301">
        <v>46096</v>
      </c>
      <c r="S18" s="273">
        <v>46390</v>
      </c>
      <c r="T18" s="301">
        <v>46127</v>
      </c>
      <c r="U18" s="273" t="s">
        <v>183</v>
      </c>
      <c r="V18" s="307" t="s">
        <v>183</v>
      </c>
      <c r="W18" s="307"/>
      <c r="X18" s="259" t="s">
        <v>4</v>
      </c>
    </row>
    <row r="19" spans="1:24" s="258" customFormat="1" ht="30" x14ac:dyDescent="0.2">
      <c r="A19" s="294">
        <v>17</v>
      </c>
      <c r="B19" s="295" t="s">
        <v>337</v>
      </c>
      <c r="C19" s="295" t="s">
        <v>337</v>
      </c>
      <c r="D19" s="281" t="s">
        <v>314</v>
      </c>
      <c r="E19" s="281" t="s">
        <v>4</v>
      </c>
      <c r="F19" s="281" t="s">
        <v>4</v>
      </c>
      <c r="G19" s="289" t="s">
        <v>4</v>
      </c>
      <c r="H19" s="289" t="s">
        <v>202</v>
      </c>
      <c r="I19" s="289" t="s">
        <v>4</v>
      </c>
      <c r="J19" s="289" t="s">
        <v>4</v>
      </c>
      <c r="K19" s="289" t="s">
        <v>4</v>
      </c>
      <c r="L19" s="289" t="s">
        <v>4</v>
      </c>
      <c r="M19" s="273">
        <v>46027</v>
      </c>
      <c r="N19" s="301">
        <v>46027</v>
      </c>
      <c r="O19" s="273" t="s">
        <v>4</v>
      </c>
      <c r="P19" s="301">
        <v>46068</v>
      </c>
      <c r="Q19" s="273" t="s">
        <v>336</v>
      </c>
      <c r="R19" s="301">
        <v>46096</v>
      </c>
      <c r="S19" s="273">
        <v>46390</v>
      </c>
      <c r="T19" s="301">
        <v>46127</v>
      </c>
      <c r="U19" s="273" t="s">
        <v>183</v>
      </c>
      <c r="V19" s="307" t="s">
        <v>183</v>
      </c>
      <c r="W19" s="307"/>
      <c r="X19" s="259" t="s">
        <v>4</v>
      </c>
    </row>
    <row r="20" spans="1:24" s="261" customFormat="1" ht="30" x14ac:dyDescent="0.2">
      <c r="A20" s="294">
        <v>18</v>
      </c>
      <c r="B20" s="295" t="s">
        <v>115</v>
      </c>
      <c r="C20" s="295" t="s">
        <v>338</v>
      </c>
      <c r="D20" s="284" t="s">
        <v>116</v>
      </c>
      <c r="E20" s="281" t="s">
        <v>4</v>
      </c>
      <c r="F20" s="281" t="s">
        <v>98</v>
      </c>
      <c r="G20" s="289" t="s">
        <v>4</v>
      </c>
      <c r="H20" s="284" t="s">
        <v>118</v>
      </c>
      <c r="I20" s="289" t="s">
        <v>4</v>
      </c>
      <c r="J20" s="289" t="s">
        <v>4</v>
      </c>
      <c r="K20" s="289" t="s">
        <v>4</v>
      </c>
      <c r="L20" s="289" t="s">
        <v>4</v>
      </c>
      <c r="M20" s="273">
        <v>46027</v>
      </c>
      <c r="N20" s="301">
        <v>46027</v>
      </c>
      <c r="O20" s="273" t="s">
        <v>4</v>
      </c>
      <c r="P20" s="301">
        <v>46068</v>
      </c>
      <c r="Q20" s="273" t="s">
        <v>336</v>
      </c>
      <c r="R20" s="301">
        <v>46096</v>
      </c>
      <c r="S20" s="273">
        <v>46222</v>
      </c>
      <c r="T20" s="301">
        <v>46127</v>
      </c>
      <c r="U20" s="273" t="s">
        <v>183</v>
      </c>
      <c r="V20" s="307" t="s">
        <v>183</v>
      </c>
      <c r="W20" s="307"/>
      <c r="X20" s="259" t="s">
        <v>4</v>
      </c>
    </row>
    <row r="21" spans="1:24" ht="30" x14ac:dyDescent="0.2">
      <c r="A21" s="296">
        <v>19</v>
      </c>
      <c r="B21" s="297" t="s">
        <v>339</v>
      </c>
      <c r="C21" s="297" t="s">
        <v>339</v>
      </c>
      <c r="D21" s="281" t="s">
        <v>204</v>
      </c>
      <c r="E21" s="281" t="s">
        <v>205</v>
      </c>
      <c r="F21" s="281" t="s">
        <v>340</v>
      </c>
      <c r="G21" s="289" t="s">
        <v>4</v>
      </c>
      <c r="H21" s="289" t="s">
        <v>118</v>
      </c>
      <c r="I21" s="289" t="s">
        <v>4</v>
      </c>
      <c r="J21" s="289" t="s">
        <v>4</v>
      </c>
      <c r="K21" s="289" t="s">
        <v>4</v>
      </c>
      <c r="L21" s="289" t="s">
        <v>4</v>
      </c>
      <c r="M21" s="273">
        <v>46037</v>
      </c>
      <c r="N21" s="301">
        <v>46037</v>
      </c>
      <c r="O21" s="273" t="s">
        <v>4</v>
      </c>
      <c r="P21" s="301">
        <v>46068</v>
      </c>
      <c r="Q21" s="273">
        <v>46068</v>
      </c>
      <c r="R21" s="301">
        <v>46096</v>
      </c>
      <c r="S21" s="273">
        <v>46096</v>
      </c>
      <c r="T21" s="301">
        <v>46127</v>
      </c>
      <c r="U21" s="273" t="s">
        <v>4</v>
      </c>
      <c r="V21" s="307" t="s">
        <v>4</v>
      </c>
      <c r="W21" s="307"/>
      <c r="X21" s="259" t="s">
        <v>4</v>
      </c>
    </row>
    <row r="22" spans="1:24" s="258" customFormat="1" x14ac:dyDescent="0.2">
      <c r="A22" s="298">
        <v>20</v>
      </c>
      <c r="B22" s="295" t="s">
        <v>177</v>
      </c>
      <c r="C22" s="295" t="s">
        <v>4</v>
      </c>
      <c r="D22" s="281" t="s">
        <v>178</v>
      </c>
      <c r="E22" s="281" t="s">
        <v>4</v>
      </c>
      <c r="F22" s="281" t="s">
        <v>264</v>
      </c>
      <c r="G22" s="289" t="s">
        <v>4</v>
      </c>
      <c r="H22" s="289" t="s">
        <v>118</v>
      </c>
      <c r="I22" s="289" t="s">
        <v>4</v>
      </c>
      <c r="J22" s="289" t="s">
        <v>4</v>
      </c>
      <c r="K22" s="289" t="s">
        <v>4</v>
      </c>
      <c r="L22" s="289" t="s">
        <v>4</v>
      </c>
      <c r="M22" s="302" t="s">
        <v>4</v>
      </c>
      <c r="N22" s="302" t="s">
        <v>4</v>
      </c>
      <c r="O22" s="302"/>
      <c r="P22" s="302"/>
      <c r="Q22" s="302" t="s">
        <v>4</v>
      </c>
      <c r="R22" s="302" t="s">
        <v>4</v>
      </c>
      <c r="S22" s="302" t="s">
        <v>4</v>
      </c>
      <c r="T22" s="302" t="s">
        <v>4</v>
      </c>
      <c r="U22" s="302" t="s">
        <v>4</v>
      </c>
      <c r="V22" s="302" t="s">
        <v>4</v>
      </c>
      <c r="W22" s="302"/>
      <c r="X22" s="262" t="s">
        <v>4</v>
      </c>
    </row>
    <row r="23" spans="1:24" ht="16" x14ac:dyDescent="0.2">
      <c r="A23" s="268">
        <v>21</v>
      </c>
      <c r="B23" s="419" t="s">
        <v>341</v>
      </c>
      <c r="C23" s="379" t="s">
        <v>4</v>
      </c>
      <c r="D23" s="380" t="s">
        <v>4</v>
      </c>
      <c r="E23" s="380" t="s">
        <v>120</v>
      </c>
      <c r="F23" s="380" t="s">
        <v>121</v>
      </c>
      <c r="G23" s="381" t="s">
        <v>4</v>
      </c>
      <c r="H23" s="381" t="s">
        <v>4</v>
      </c>
      <c r="I23" s="381" t="s">
        <v>4</v>
      </c>
      <c r="J23" s="381" t="s">
        <v>4</v>
      </c>
      <c r="K23" s="381" t="s">
        <v>4</v>
      </c>
      <c r="L23" s="381" t="s">
        <v>4</v>
      </c>
      <c r="M23" s="380" t="s">
        <v>4</v>
      </c>
      <c r="N23" s="380" t="s">
        <v>4</v>
      </c>
      <c r="O23" s="380"/>
      <c r="P23" s="380"/>
      <c r="Q23" s="380" t="s">
        <v>4</v>
      </c>
      <c r="R23" s="418">
        <v>45978</v>
      </c>
      <c r="S23" s="380" t="s">
        <v>4</v>
      </c>
      <c r="T23" s="380" t="s">
        <v>4</v>
      </c>
      <c r="U23" s="418">
        <v>46003</v>
      </c>
      <c r="V23" s="418">
        <v>46091</v>
      </c>
      <c r="W23" s="265"/>
      <c r="X23" s="267" t="s">
        <v>4</v>
      </c>
    </row>
    <row r="24" spans="1:24" x14ac:dyDescent="0.2">
      <c r="A24" s="269">
        <v>22</v>
      </c>
      <c r="B24" s="264" t="s">
        <v>4</v>
      </c>
      <c r="C24" s="264" t="s">
        <v>4</v>
      </c>
      <c r="D24" s="265" t="s">
        <v>4</v>
      </c>
      <c r="E24" s="265" t="s">
        <v>4</v>
      </c>
      <c r="F24" s="265" t="s">
        <v>4</v>
      </c>
      <c r="G24" s="266" t="s">
        <v>4</v>
      </c>
      <c r="H24" s="266" t="s">
        <v>4</v>
      </c>
      <c r="I24" s="266" t="s">
        <v>4</v>
      </c>
      <c r="J24" s="266" t="s">
        <v>4</v>
      </c>
      <c r="K24" s="266" t="s">
        <v>4</v>
      </c>
      <c r="L24" s="266" t="s">
        <v>4</v>
      </c>
      <c r="M24" s="265" t="s">
        <v>4</v>
      </c>
      <c r="N24" s="265" t="s">
        <v>4</v>
      </c>
      <c r="O24" s="265"/>
      <c r="P24" s="265"/>
      <c r="Q24" s="265" t="s">
        <v>4</v>
      </c>
      <c r="R24" s="265" t="s">
        <v>4</v>
      </c>
      <c r="S24" s="265" t="s">
        <v>4</v>
      </c>
      <c r="T24" s="265" t="s">
        <v>4</v>
      </c>
      <c r="U24" s="265" t="s">
        <v>4</v>
      </c>
      <c r="V24" s="265" t="s">
        <v>4</v>
      </c>
      <c r="W24" s="265"/>
      <c r="X24" s="267" t="s">
        <v>4</v>
      </c>
    </row>
    <row r="25" spans="1:24" x14ac:dyDescent="0.2">
      <c r="A25" s="269">
        <v>23</v>
      </c>
      <c r="B25" s="264" t="s">
        <v>4</v>
      </c>
      <c r="C25" s="264" t="s">
        <v>4</v>
      </c>
      <c r="D25" s="265" t="s">
        <v>4</v>
      </c>
      <c r="E25" s="265" t="s">
        <v>4</v>
      </c>
      <c r="F25" s="265" t="s">
        <v>4</v>
      </c>
      <c r="G25" s="266" t="s">
        <v>4</v>
      </c>
      <c r="H25" s="266" t="s">
        <v>4</v>
      </c>
      <c r="I25" s="266" t="s">
        <v>4</v>
      </c>
      <c r="J25" s="266" t="s">
        <v>4</v>
      </c>
      <c r="K25" s="266" t="s">
        <v>4</v>
      </c>
      <c r="L25" s="266" t="s">
        <v>4</v>
      </c>
      <c r="M25" s="265" t="s">
        <v>4</v>
      </c>
      <c r="N25" s="265" t="s">
        <v>4</v>
      </c>
      <c r="O25" s="265"/>
      <c r="P25" s="265"/>
      <c r="Q25" s="265" t="s">
        <v>4</v>
      </c>
      <c r="R25" s="265" t="s">
        <v>4</v>
      </c>
      <c r="S25" s="265" t="s">
        <v>4</v>
      </c>
      <c r="T25" s="265" t="s">
        <v>4</v>
      </c>
      <c r="U25" s="265" t="s">
        <v>4</v>
      </c>
      <c r="V25" s="265" t="s">
        <v>4</v>
      </c>
      <c r="W25" s="265"/>
      <c r="X25" s="267" t="s">
        <v>4</v>
      </c>
    </row>
    <row r="26" spans="1:24" x14ac:dyDescent="0.2">
      <c r="A26" s="263">
        <v>24</v>
      </c>
      <c r="B26" s="264" t="s">
        <v>4</v>
      </c>
      <c r="C26" s="264" t="s">
        <v>4</v>
      </c>
      <c r="D26" s="265" t="s">
        <v>4</v>
      </c>
      <c r="E26" s="265" t="s">
        <v>4</v>
      </c>
      <c r="F26" s="265" t="s">
        <v>4</v>
      </c>
      <c r="G26" s="266" t="s">
        <v>4</v>
      </c>
      <c r="H26" s="266" t="s">
        <v>4</v>
      </c>
      <c r="I26" s="266" t="s">
        <v>4</v>
      </c>
      <c r="J26" s="266" t="s">
        <v>4</v>
      </c>
      <c r="K26" s="266" t="s">
        <v>4</v>
      </c>
      <c r="L26" s="266" t="s">
        <v>4</v>
      </c>
      <c r="M26" s="265" t="s">
        <v>4</v>
      </c>
      <c r="N26" s="265" t="s">
        <v>4</v>
      </c>
      <c r="O26" s="265"/>
      <c r="P26" s="265"/>
      <c r="Q26" s="265" t="s">
        <v>4</v>
      </c>
      <c r="R26" s="265" t="s">
        <v>4</v>
      </c>
      <c r="S26" s="265" t="s">
        <v>4</v>
      </c>
      <c r="T26" s="265" t="s">
        <v>4</v>
      </c>
      <c r="U26" s="265" t="s">
        <v>4</v>
      </c>
      <c r="V26" s="265" t="s">
        <v>4</v>
      </c>
      <c r="W26" s="265"/>
      <c r="X26" s="267" t="s">
        <v>4</v>
      </c>
    </row>
    <row r="27" spans="1:24" x14ac:dyDescent="0.2">
      <c r="A27" s="268">
        <v>25</v>
      </c>
      <c r="B27" s="264" t="s">
        <v>4</v>
      </c>
      <c r="C27" s="264" t="s">
        <v>4</v>
      </c>
      <c r="D27" s="265" t="s">
        <v>4</v>
      </c>
      <c r="E27" s="265" t="s">
        <v>4</v>
      </c>
      <c r="F27" s="265" t="s">
        <v>4</v>
      </c>
      <c r="G27" s="266" t="s">
        <v>4</v>
      </c>
      <c r="H27" s="266" t="s">
        <v>4</v>
      </c>
      <c r="I27" s="266" t="s">
        <v>4</v>
      </c>
      <c r="J27" s="266" t="s">
        <v>4</v>
      </c>
      <c r="K27" s="266" t="s">
        <v>4</v>
      </c>
      <c r="L27" s="266" t="s">
        <v>4</v>
      </c>
      <c r="M27" s="265" t="s">
        <v>4</v>
      </c>
      <c r="N27" s="265" t="s">
        <v>4</v>
      </c>
      <c r="O27" s="265"/>
      <c r="P27" s="265"/>
      <c r="Q27" s="265" t="s">
        <v>4</v>
      </c>
      <c r="R27" s="265" t="s">
        <v>4</v>
      </c>
      <c r="S27" s="265" t="s">
        <v>4</v>
      </c>
      <c r="T27" s="265" t="s">
        <v>4</v>
      </c>
      <c r="U27" s="265" t="s">
        <v>4</v>
      </c>
      <c r="V27" s="265" t="s">
        <v>4</v>
      </c>
      <c r="W27" s="265"/>
      <c r="X27" s="267" t="s">
        <v>4</v>
      </c>
    </row>
    <row r="28" spans="1:24" x14ac:dyDescent="0.2">
      <c r="A28" s="269">
        <v>26</v>
      </c>
      <c r="B28" s="264" t="s">
        <v>4</v>
      </c>
      <c r="C28" s="264" t="s">
        <v>4</v>
      </c>
      <c r="D28" s="265" t="s">
        <v>4</v>
      </c>
      <c r="E28" s="265" t="s">
        <v>4</v>
      </c>
      <c r="F28" s="265" t="s">
        <v>4</v>
      </c>
      <c r="G28" s="266" t="s">
        <v>4</v>
      </c>
      <c r="H28" s="266" t="s">
        <v>4</v>
      </c>
      <c r="I28" s="266" t="s">
        <v>4</v>
      </c>
      <c r="J28" s="266" t="s">
        <v>4</v>
      </c>
      <c r="K28" s="266" t="s">
        <v>4</v>
      </c>
      <c r="L28" s="266" t="s">
        <v>4</v>
      </c>
      <c r="M28" s="265" t="s">
        <v>4</v>
      </c>
      <c r="N28" s="265" t="s">
        <v>4</v>
      </c>
      <c r="O28" s="265"/>
      <c r="P28" s="265"/>
      <c r="Q28" s="265" t="s">
        <v>4</v>
      </c>
      <c r="R28" s="265" t="s">
        <v>4</v>
      </c>
      <c r="S28" s="265" t="s">
        <v>4</v>
      </c>
      <c r="T28" s="265" t="s">
        <v>4</v>
      </c>
      <c r="U28" s="265" t="s">
        <v>4</v>
      </c>
      <c r="V28" s="265" t="s">
        <v>4</v>
      </c>
      <c r="W28" s="265"/>
      <c r="X28" s="267" t="s">
        <v>4</v>
      </c>
    </row>
    <row r="29" spans="1:24" x14ac:dyDescent="0.2">
      <c r="A29" s="269">
        <v>27</v>
      </c>
      <c r="B29" s="264" t="s">
        <v>4</v>
      </c>
      <c r="C29" s="264" t="s">
        <v>4</v>
      </c>
      <c r="D29" s="265" t="s">
        <v>4</v>
      </c>
      <c r="E29" s="265" t="s">
        <v>4</v>
      </c>
      <c r="F29" s="265" t="s">
        <v>4</v>
      </c>
      <c r="G29" s="266" t="s">
        <v>4</v>
      </c>
      <c r="H29" s="266" t="s">
        <v>4</v>
      </c>
      <c r="I29" s="266" t="s">
        <v>4</v>
      </c>
      <c r="J29" s="266" t="s">
        <v>4</v>
      </c>
      <c r="K29" s="266" t="s">
        <v>4</v>
      </c>
      <c r="L29" s="266" t="s">
        <v>4</v>
      </c>
      <c r="M29" s="265" t="s">
        <v>4</v>
      </c>
      <c r="N29" s="265" t="s">
        <v>4</v>
      </c>
      <c r="O29" s="265"/>
      <c r="P29" s="265"/>
      <c r="Q29" s="265" t="s">
        <v>4</v>
      </c>
      <c r="R29" s="265" t="s">
        <v>4</v>
      </c>
      <c r="S29" s="265" t="s">
        <v>4</v>
      </c>
      <c r="T29" s="265" t="s">
        <v>4</v>
      </c>
      <c r="U29" s="265" t="s">
        <v>4</v>
      </c>
      <c r="V29" s="265" t="s">
        <v>4</v>
      </c>
      <c r="W29" s="265"/>
      <c r="X29" s="267" t="s">
        <v>4</v>
      </c>
    </row>
    <row r="30" spans="1:24" x14ac:dyDescent="0.2">
      <c r="A30" s="263">
        <v>28</v>
      </c>
      <c r="B30" s="264" t="s">
        <v>4</v>
      </c>
      <c r="C30" s="264" t="s">
        <v>4</v>
      </c>
      <c r="D30" s="265" t="s">
        <v>4</v>
      </c>
      <c r="E30" s="265" t="s">
        <v>4</v>
      </c>
      <c r="F30" s="265" t="s">
        <v>4</v>
      </c>
      <c r="G30" s="266" t="s">
        <v>4</v>
      </c>
      <c r="H30" s="266" t="s">
        <v>4</v>
      </c>
      <c r="I30" s="266" t="s">
        <v>4</v>
      </c>
      <c r="J30" s="266" t="s">
        <v>4</v>
      </c>
      <c r="K30" s="266" t="s">
        <v>4</v>
      </c>
      <c r="L30" s="266" t="s">
        <v>4</v>
      </c>
      <c r="M30" s="265" t="s">
        <v>4</v>
      </c>
      <c r="N30" s="265" t="s">
        <v>4</v>
      </c>
      <c r="O30" s="265"/>
      <c r="P30" s="265"/>
      <c r="Q30" s="265" t="s">
        <v>4</v>
      </c>
      <c r="R30" s="265" t="s">
        <v>4</v>
      </c>
      <c r="S30" s="265" t="s">
        <v>4</v>
      </c>
      <c r="T30" s="265" t="s">
        <v>4</v>
      </c>
      <c r="U30" s="265" t="s">
        <v>4</v>
      </c>
      <c r="V30" s="265" t="s">
        <v>4</v>
      </c>
      <c r="W30" s="265"/>
      <c r="X30" s="267" t="s">
        <v>4</v>
      </c>
    </row>
    <row r="31" spans="1:24" x14ac:dyDescent="0.2">
      <c r="A31" s="268">
        <v>29</v>
      </c>
      <c r="B31" s="264" t="s">
        <v>4</v>
      </c>
      <c r="C31" s="264" t="s">
        <v>4</v>
      </c>
      <c r="D31" s="265" t="s">
        <v>4</v>
      </c>
      <c r="E31" s="265" t="s">
        <v>4</v>
      </c>
      <c r="F31" s="265" t="s">
        <v>4</v>
      </c>
      <c r="G31" s="266" t="s">
        <v>4</v>
      </c>
      <c r="H31" s="266" t="s">
        <v>4</v>
      </c>
      <c r="I31" s="266" t="s">
        <v>4</v>
      </c>
      <c r="J31" s="266" t="s">
        <v>4</v>
      </c>
      <c r="K31" s="266" t="s">
        <v>4</v>
      </c>
      <c r="L31" s="266" t="s">
        <v>4</v>
      </c>
      <c r="M31" s="265" t="s">
        <v>4</v>
      </c>
      <c r="N31" s="265" t="s">
        <v>4</v>
      </c>
      <c r="O31" s="265"/>
      <c r="P31" s="265"/>
      <c r="Q31" s="265" t="s">
        <v>4</v>
      </c>
      <c r="R31" s="265" t="s">
        <v>4</v>
      </c>
      <c r="S31" s="265" t="s">
        <v>4</v>
      </c>
      <c r="T31" s="265" t="s">
        <v>4</v>
      </c>
      <c r="U31" s="265" t="s">
        <v>4</v>
      </c>
      <c r="V31" s="265" t="s">
        <v>4</v>
      </c>
      <c r="W31" s="265"/>
      <c r="X31" s="267" t="s">
        <v>4</v>
      </c>
    </row>
    <row r="32" spans="1:24" x14ac:dyDescent="0.2">
      <c r="A32" s="263">
        <v>30</v>
      </c>
      <c r="B32" s="264" t="s">
        <v>4</v>
      </c>
      <c r="C32" s="264" t="s">
        <v>4</v>
      </c>
      <c r="D32" s="265" t="s">
        <v>4</v>
      </c>
      <c r="E32" s="265" t="s">
        <v>4</v>
      </c>
      <c r="F32" s="265" t="s">
        <v>4</v>
      </c>
      <c r="G32" s="266" t="s">
        <v>4</v>
      </c>
      <c r="H32" s="266" t="s">
        <v>4</v>
      </c>
      <c r="I32" s="266" t="s">
        <v>4</v>
      </c>
      <c r="J32" s="266" t="s">
        <v>4</v>
      </c>
      <c r="K32" s="266" t="s">
        <v>4</v>
      </c>
      <c r="L32" s="266" t="s">
        <v>4</v>
      </c>
      <c r="M32" s="265" t="s">
        <v>4</v>
      </c>
      <c r="N32" s="265" t="s">
        <v>4</v>
      </c>
      <c r="O32" s="265"/>
      <c r="P32" s="265"/>
      <c r="Q32" s="265" t="s">
        <v>4</v>
      </c>
      <c r="R32" s="265" t="s">
        <v>4</v>
      </c>
      <c r="S32" s="265" t="s">
        <v>4</v>
      </c>
      <c r="T32" s="265" t="s">
        <v>4</v>
      </c>
      <c r="U32" s="265" t="s">
        <v>4</v>
      </c>
      <c r="V32" s="265" t="s">
        <v>4</v>
      </c>
      <c r="W32" s="265"/>
      <c r="X32" s="267" t="s">
        <v>4</v>
      </c>
    </row>
    <row r="33" spans="1:24" ht="45" x14ac:dyDescent="0.2">
      <c r="A33" s="268" t="s">
        <v>342</v>
      </c>
      <c r="B33" s="264" t="s">
        <v>4</v>
      </c>
      <c r="C33" s="264" t="s">
        <v>4</v>
      </c>
      <c r="D33" s="265" t="s">
        <v>4</v>
      </c>
      <c r="E33" s="265" t="s">
        <v>4</v>
      </c>
      <c r="F33" s="265" t="s">
        <v>4</v>
      </c>
      <c r="G33" s="266" t="s">
        <v>4</v>
      </c>
      <c r="H33" s="266" t="s">
        <v>4</v>
      </c>
      <c r="I33" s="266" t="s">
        <v>4</v>
      </c>
      <c r="J33" s="266" t="s">
        <v>4</v>
      </c>
      <c r="K33" s="266" t="s">
        <v>4</v>
      </c>
      <c r="L33" s="266" t="s">
        <v>4</v>
      </c>
      <c r="M33" s="265" t="s">
        <v>4</v>
      </c>
      <c r="N33" s="265" t="s">
        <v>4</v>
      </c>
      <c r="O33" s="265"/>
      <c r="P33" s="265"/>
      <c r="Q33" s="265" t="s">
        <v>4</v>
      </c>
      <c r="R33" s="265" t="s">
        <v>4</v>
      </c>
      <c r="S33" s="265" t="s">
        <v>4</v>
      </c>
      <c r="T33" s="265" t="s">
        <v>4</v>
      </c>
      <c r="U33" s="265" t="s">
        <v>4</v>
      </c>
      <c r="V33" s="265" t="s">
        <v>4</v>
      </c>
      <c r="W33" s="265"/>
      <c r="X33" s="267" t="s">
        <v>4</v>
      </c>
    </row>
    <row r="34" spans="1:24" x14ac:dyDescent="0.2">
      <c r="A34" s="269" t="s">
        <v>4</v>
      </c>
      <c r="B34" s="264" t="s">
        <v>4</v>
      </c>
      <c r="C34" s="264" t="s">
        <v>4</v>
      </c>
      <c r="D34" s="265" t="s">
        <v>4</v>
      </c>
      <c r="E34" s="265" t="s">
        <v>4</v>
      </c>
      <c r="F34" s="265" t="s">
        <v>4</v>
      </c>
      <c r="G34" s="266" t="s">
        <v>4</v>
      </c>
      <c r="H34" s="266" t="s">
        <v>4</v>
      </c>
      <c r="I34" s="266" t="s">
        <v>4</v>
      </c>
      <c r="J34" s="266" t="s">
        <v>4</v>
      </c>
      <c r="K34" s="266" t="s">
        <v>4</v>
      </c>
      <c r="L34" s="266" t="s">
        <v>4</v>
      </c>
      <c r="M34" s="265" t="s">
        <v>4</v>
      </c>
      <c r="N34" s="265" t="s">
        <v>4</v>
      </c>
      <c r="O34" s="265"/>
      <c r="P34" s="265"/>
      <c r="Q34" s="265" t="s">
        <v>4</v>
      </c>
      <c r="R34" s="265" t="s">
        <v>4</v>
      </c>
      <c r="S34" s="265" t="s">
        <v>4</v>
      </c>
      <c r="T34" s="265" t="s">
        <v>4</v>
      </c>
      <c r="U34" s="265" t="s">
        <v>4</v>
      </c>
      <c r="V34" s="265" t="s">
        <v>4</v>
      </c>
      <c r="W34" s="265"/>
      <c r="X34" s="267" t="s">
        <v>4</v>
      </c>
    </row>
    <row r="35" spans="1:24" x14ac:dyDescent="0.2">
      <c r="A35" s="269" t="s">
        <v>4</v>
      </c>
      <c r="B35" s="264" t="s">
        <v>4</v>
      </c>
      <c r="C35" s="264" t="s">
        <v>4</v>
      </c>
      <c r="D35" s="265" t="s">
        <v>4</v>
      </c>
      <c r="E35" s="265" t="s">
        <v>4</v>
      </c>
      <c r="F35" s="265" t="s">
        <v>4</v>
      </c>
      <c r="G35" s="266" t="s">
        <v>4</v>
      </c>
      <c r="H35" s="266" t="s">
        <v>4</v>
      </c>
      <c r="I35" s="266" t="s">
        <v>4</v>
      </c>
      <c r="J35" s="266" t="s">
        <v>4</v>
      </c>
      <c r="K35" s="266" t="s">
        <v>4</v>
      </c>
      <c r="L35" s="266" t="s">
        <v>4</v>
      </c>
      <c r="M35" s="265" t="s">
        <v>4</v>
      </c>
      <c r="N35" s="265" t="s">
        <v>4</v>
      </c>
      <c r="O35" s="265"/>
      <c r="P35" s="265"/>
      <c r="Q35" s="265" t="s">
        <v>4</v>
      </c>
      <c r="R35" s="265" t="s">
        <v>4</v>
      </c>
      <c r="S35" s="265" t="s">
        <v>4</v>
      </c>
      <c r="T35" s="265" t="s">
        <v>4</v>
      </c>
      <c r="U35" s="265" t="s">
        <v>4</v>
      </c>
      <c r="V35" s="265" t="s">
        <v>4</v>
      </c>
      <c r="W35" s="265"/>
      <c r="X35" s="267" t="s">
        <v>4</v>
      </c>
    </row>
    <row r="36" spans="1:24" x14ac:dyDescent="0.2">
      <c r="A36" s="269" t="s">
        <v>4</v>
      </c>
      <c r="B36" s="264" t="s">
        <v>4</v>
      </c>
      <c r="C36" s="264" t="s">
        <v>4</v>
      </c>
      <c r="D36" s="265" t="s">
        <v>4</v>
      </c>
      <c r="E36" s="265" t="s">
        <v>4</v>
      </c>
      <c r="F36" s="265" t="s">
        <v>4</v>
      </c>
      <c r="G36" s="266" t="s">
        <v>4</v>
      </c>
      <c r="H36" s="266" t="s">
        <v>4</v>
      </c>
      <c r="I36" s="266" t="s">
        <v>4</v>
      </c>
      <c r="J36" s="266" t="s">
        <v>4</v>
      </c>
      <c r="K36" s="266" t="s">
        <v>4</v>
      </c>
      <c r="L36" s="266" t="s">
        <v>4</v>
      </c>
      <c r="M36" s="265" t="s">
        <v>4</v>
      </c>
      <c r="N36" s="265" t="s">
        <v>4</v>
      </c>
      <c r="O36" s="265"/>
      <c r="P36" s="265"/>
      <c r="Q36" s="265" t="s">
        <v>4</v>
      </c>
      <c r="R36" s="265" t="s">
        <v>4</v>
      </c>
      <c r="S36" s="265" t="s">
        <v>4</v>
      </c>
      <c r="T36" s="265" t="s">
        <v>4</v>
      </c>
      <c r="U36" s="265" t="s">
        <v>4</v>
      </c>
      <c r="V36" s="265" t="s">
        <v>4</v>
      </c>
      <c r="W36" s="265"/>
      <c r="X36" s="267" t="s">
        <v>4</v>
      </c>
    </row>
    <row r="37" spans="1:24" x14ac:dyDescent="0.2">
      <c r="A37" s="269" t="s">
        <v>4</v>
      </c>
      <c r="B37" s="264" t="s">
        <v>4</v>
      </c>
      <c r="C37" s="264" t="s">
        <v>4</v>
      </c>
      <c r="D37" s="265" t="s">
        <v>4</v>
      </c>
      <c r="E37" s="265" t="s">
        <v>4</v>
      </c>
      <c r="F37" s="265" t="s">
        <v>4</v>
      </c>
      <c r="G37" s="266" t="s">
        <v>4</v>
      </c>
      <c r="H37" s="266" t="s">
        <v>4</v>
      </c>
      <c r="I37" s="266" t="s">
        <v>4</v>
      </c>
      <c r="J37" s="266" t="s">
        <v>4</v>
      </c>
      <c r="K37" s="266" t="s">
        <v>4</v>
      </c>
      <c r="L37" s="266" t="s">
        <v>4</v>
      </c>
      <c r="M37" s="265" t="s">
        <v>4</v>
      </c>
      <c r="N37" s="265" t="s">
        <v>4</v>
      </c>
      <c r="O37" s="265"/>
      <c r="P37" s="265"/>
      <c r="Q37" s="265" t="s">
        <v>4</v>
      </c>
      <c r="R37" s="265" t="s">
        <v>4</v>
      </c>
      <c r="S37" s="265" t="s">
        <v>4</v>
      </c>
      <c r="T37" s="265" t="s">
        <v>4</v>
      </c>
      <c r="U37" s="265" t="s">
        <v>4</v>
      </c>
      <c r="V37" s="265" t="s">
        <v>4</v>
      </c>
      <c r="W37" s="265"/>
      <c r="X37" s="267" t="s">
        <v>4</v>
      </c>
    </row>
    <row r="38" spans="1:24" x14ac:dyDescent="0.2">
      <c r="A38" s="269" t="s">
        <v>4</v>
      </c>
      <c r="B38" s="264" t="s">
        <v>4</v>
      </c>
      <c r="C38" s="264" t="s">
        <v>4</v>
      </c>
      <c r="D38" s="265" t="s">
        <v>4</v>
      </c>
      <c r="E38" s="265" t="s">
        <v>4</v>
      </c>
      <c r="F38" s="265" t="s">
        <v>4</v>
      </c>
      <c r="G38" s="266" t="s">
        <v>4</v>
      </c>
      <c r="H38" s="266" t="s">
        <v>4</v>
      </c>
      <c r="I38" s="266" t="s">
        <v>4</v>
      </c>
      <c r="J38" s="266" t="s">
        <v>4</v>
      </c>
      <c r="K38" s="266" t="s">
        <v>4</v>
      </c>
      <c r="L38" s="266" t="s">
        <v>4</v>
      </c>
      <c r="M38" s="265" t="s">
        <v>4</v>
      </c>
      <c r="N38" s="270" t="s">
        <v>4</v>
      </c>
      <c r="O38" s="270"/>
      <c r="P38" s="270"/>
      <c r="Q38" s="270" t="s">
        <v>4</v>
      </c>
      <c r="R38" s="270" t="s">
        <v>4</v>
      </c>
      <c r="S38" s="265" t="s">
        <v>4</v>
      </c>
      <c r="T38" s="265" t="s">
        <v>4</v>
      </c>
      <c r="U38" s="265" t="s">
        <v>4</v>
      </c>
      <c r="V38" s="265" t="s">
        <v>4</v>
      </c>
      <c r="W38" s="265"/>
      <c r="X38" s="267" t="s">
        <v>4</v>
      </c>
    </row>
  </sheetData>
  <mergeCells count="3">
    <mergeCell ref="G1:L1"/>
    <mergeCell ref="M1:T1"/>
    <mergeCell ref="U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6EC2-68CD-4CF0-8FA6-55723AAA590E}">
  <sheetPr filterMode="1"/>
  <dimension ref="A1:AB31"/>
  <sheetViews>
    <sheetView zoomScale="110" zoomScaleNormal="110" workbookViewId="0">
      <pane xSplit="3" ySplit="2" topLeftCell="W28" activePane="bottomRight" state="frozen"/>
      <selection pane="topRight" activeCell="D1" sqref="D1"/>
      <selection pane="bottomLeft" activeCell="A3" sqref="A3"/>
      <selection pane="bottomRight" activeCell="W28" sqref="W28"/>
    </sheetView>
  </sheetViews>
  <sheetFormatPr baseColWidth="10" defaultColWidth="10.83203125" defaultRowHeight="15" customHeight="1" outlineLevelCol="1" x14ac:dyDescent="0.2"/>
  <cols>
    <col min="1" max="1" width="3.5" style="357" bestFit="1" customWidth="1"/>
    <col min="2" max="2" width="19" style="357" customWidth="1"/>
    <col min="3" max="3" width="40.5" style="357" hidden="1" customWidth="1"/>
    <col min="4" max="5" width="10.1640625" style="494" customWidth="1"/>
    <col min="6" max="6" width="11.1640625" style="494" customWidth="1"/>
    <col min="7" max="7" width="12.5" style="382" hidden="1" customWidth="1" outlineLevel="1"/>
    <col min="8" max="8" width="10.83203125" style="382" hidden="1" customWidth="1" outlineLevel="1"/>
    <col min="9" max="12" width="12.5" style="382" hidden="1" customWidth="1" outlineLevel="1"/>
    <col min="13" max="13" width="10.83203125" style="382" hidden="1" customWidth="1" collapsed="1"/>
    <col min="14" max="19" width="12.5" style="382" customWidth="1" outlineLevel="1"/>
    <col min="20" max="20" width="12.83203125" style="382" customWidth="1" outlineLevel="1"/>
    <col min="21" max="22" width="10.5" style="382" customWidth="1"/>
    <col min="23" max="23" width="67.5" style="383" customWidth="1"/>
    <col min="24" max="25" width="23.83203125" style="357" customWidth="1"/>
    <col min="26" max="27" width="10.83203125" style="357"/>
    <col min="28" max="28" width="12.83203125" style="357" customWidth="1"/>
    <col min="29" max="16384" width="10.83203125" style="357"/>
  </cols>
  <sheetData>
    <row r="1" spans="1:28" ht="15" customHeight="1" x14ac:dyDescent="0.2">
      <c r="A1" s="355"/>
      <c r="B1" s="514" t="s">
        <v>343</v>
      </c>
      <c r="C1" s="355"/>
      <c r="D1" s="488"/>
      <c r="E1" s="488"/>
      <c r="F1" s="488"/>
      <c r="G1" s="825" t="s">
        <v>1</v>
      </c>
      <c r="H1" s="826"/>
      <c r="I1" s="826"/>
      <c r="J1" s="826"/>
      <c r="K1" s="826"/>
      <c r="L1" s="827"/>
      <c r="M1" s="842" t="s">
        <v>2</v>
      </c>
      <c r="N1" s="842"/>
      <c r="O1" s="842"/>
      <c r="P1" s="842"/>
      <c r="Q1" s="842"/>
      <c r="R1" s="842"/>
      <c r="S1" s="842"/>
      <c r="T1" s="843"/>
      <c r="U1" s="842" t="s">
        <v>3</v>
      </c>
      <c r="V1" s="843"/>
      <c r="W1" s="356" t="s">
        <v>4</v>
      </c>
    </row>
    <row r="2" spans="1:28" ht="70" customHeight="1" x14ac:dyDescent="0.2">
      <c r="A2" s="477" t="s">
        <v>5</v>
      </c>
      <c r="B2" s="480" t="s">
        <v>6</v>
      </c>
      <c r="C2" s="480" t="s">
        <v>6</v>
      </c>
      <c r="D2" s="489" t="s">
        <v>9</v>
      </c>
      <c r="E2" s="489" t="s">
        <v>10</v>
      </c>
      <c r="F2" s="489" t="s">
        <v>11</v>
      </c>
      <c r="G2" s="358" t="s">
        <v>13</v>
      </c>
      <c r="H2" s="358" t="s">
        <v>15</v>
      </c>
      <c r="I2" s="358" t="s">
        <v>16</v>
      </c>
      <c r="J2" s="358" t="s">
        <v>17</v>
      </c>
      <c r="K2" s="358" t="s">
        <v>18</v>
      </c>
      <c r="L2" s="358" t="s">
        <v>19</v>
      </c>
      <c r="M2" s="359" t="s">
        <v>20</v>
      </c>
      <c r="N2" s="359" t="s">
        <v>21</v>
      </c>
      <c r="O2" s="359" t="s">
        <v>22</v>
      </c>
      <c r="P2" s="359" t="s">
        <v>23</v>
      </c>
      <c r="Q2" s="359" t="s">
        <v>24</v>
      </c>
      <c r="R2" s="359" t="s">
        <v>25</v>
      </c>
      <c r="S2" s="359" t="s">
        <v>296</v>
      </c>
      <c r="T2" s="359" t="s">
        <v>27</v>
      </c>
      <c r="U2" s="394" t="s">
        <v>28</v>
      </c>
      <c r="V2" s="394" t="s">
        <v>29</v>
      </c>
      <c r="W2" s="420" t="s">
        <v>30</v>
      </c>
      <c r="X2" s="428" t="s">
        <v>31</v>
      </c>
      <c r="Y2" s="506" t="s">
        <v>32</v>
      </c>
      <c r="Z2" s="508" t="s">
        <v>344</v>
      </c>
      <c r="AA2" s="509" t="s">
        <v>37</v>
      </c>
      <c r="AB2" s="509" t="s">
        <v>43</v>
      </c>
    </row>
    <row r="3" spans="1:28" s="361" customFormat="1" ht="45" hidden="1" customHeight="1" x14ac:dyDescent="0.2">
      <c r="A3" s="478">
        <v>1</v>
      </c>
      <c r="B3" s="481" t="s">
        <v>45</v>
      </c>
      <c r="C3" s="481" t="s">
        <v>45</v>
      </c>
      <c r="D3" s="490" t="s">
        <v>46</v>
      </c>
      <c r="E3" s="490" t="s">
        <v>47</v>
      </c>
      <c r="F3" s="490" t="s">
        <v>48</v>
      </c>
      <c r="G3" s="400" t="s">
        <v>50</v>
      </c>
      <c r="H3" s="398" t="s">
        <v>50</v>
      </c>
      <c r="I3" s="398" t="s">
        <v>50</v>
      </c>
      <c r="J3" s="398" t="s">
        <v>50</v>
      </c>
      <c r="K3" s="398" t="s">
        <v>50</v>
      </c>
      <c r="L3" s="398" t="s">
        <v>50</v>
      </c>
      <c r="M3" s="403">
        <v>45853</v>
      </c>
      <c r="N3" s="403">
        <v>45853</v>
      </c>
      <c r="O3" s="403">
        <v>45884</v>
      </c>
      <c r="P3" s="403">
        <v>45884</v>
      </c>
      <c r="Q3" s="403">
        <v>45884</v>
      </c>
      <c r="R3" s="403">
        <v>45884</v>
      </c>
      <c r="S3" s="403">
        <v>45926</v>
      </c>
      <c r="T3" s="403">
        <v>45926</v>
      </c>
      <c r="U3" s="403">
        <v>45948</v>
      </c>
      <c r="V3" s="417">
        <v>45963</v>
      </c>
      <c r="W3" s="421" t="s">
        <v>51</v>
      </c>
      <c r="X3" s="429"/>
      <c r="Y3" s="429"/>
      <c r="Z3" s="429"/>
      <c r="AA3" s="429"/>
    </row>
    <row r="4" spans="1:28" s="361" customFormat="1" ht="82" customHeight="1" x14ac:dyDescent="0.2">
      <c r="A4" s="479">
        <v>2</v>
      </c>
      <c r="B4" s="481" t="s">
        <v>52</v>
      </c>
      <c r="C4" s="481" t="s">
        <v>52</v>
      </c>
      <c r="D4" s="490" t="s">
        <v>53</v>
      </c>
      <c r="E4" s="490" t="s">
        <v>54</v>
      </c>
      <c r="F4" s="490" t="s">
        <v>55</v>
      </c>
      <c r="G4" s="401" t="s">
        <v>50</v>
      </c>
      <c r="H4" s="402" t="s">
        <v>50</v>
      </c>
      <c r="I4" s="402" t="s">
        <v>50</v>
      </c>
      <c r="J4" s="402" t="s">
        <v>50</v>
      </c>
      <c r="K4" s="402" t="s">
        <v>50</v>
      </c>
      <c r="L4" s="402" t="s">
        <v>50</v>
      </c>
      <c r="M4" s="415">
        <v>45853</v>
      </c>
      <c r="N4" s="363">
        <v>45853</v>
      </c>
      <c r="O4" s="399">
        <v>45884</v>
      </c>
      <c r="P4" s="416">
        <v>45884</v>
      </c>
      <c r="Q4" s="416">
        <v>45884</v>
      </c>
      <c r="R4" s="416">
        <v>45884</v>
      </c>
      <c r="S4" s="416">
        <v>45997</v>
      </c>
      <c r="T4" s="416">
        <v>45926</v>
      </c>
      <c r="U4" s="502">
        <v>46019</v>
      </c>
      <c r="V4" s="503">
        <v>46026</v>
      </c>
      <c r="W4" s="512" t="s">
        <v>345</v>
      </c>
      <c r="X4" s="432" t="s">
        <v>58</v>
      </c>
      <c r="Y4" s="507" t="s">
        <v>59</v>
      </c>
      <c r="Z4" s="510"/>
      <c r="AA4" s="510" t="s">
        <v>73</v>
      </c>
      <c r="AB4" s="513" t="s">
        <v>63</v>
      </c>
    </row>
    <row r="5" spans="1:28" s="361" customFormat="1" ht="97.5" hidden="1" customHeight="1" x14ac:dyDescent="0.2">
      <c r="A5" s="466">
        <v>3</v>
      </c>
      <c r="B5" s="481" t="s">
        <v>65</v>
      </c>
      <c r="C5" s="481" t="s">
        <v>65</v>
      </c>
      <c r="D5" s="490" t="s">
        <v>66</v>
      </c>
      <c r="E5" s="490" t="s">
        <v>67</v>
      </c>
      <c r="F5" s="490" t="s">
        <v>68</v>
      </c>
      <c r="G5" s="400" t="s">
        <v>50</v>
      </c>
      <c r="H5" s="405">
        <v>45915</v>
      </c>
      <c r="I5" s="398" t="s">
        <v>50</v>
      </c>
      <c r="J5" s="398" t="s">
        <v>50</v>
      </c>
      <c r="K5" s="398" t="s">
        <v>50</v>
      </c>
      <c r="L5" s="398" t="s">
        <v>50</v>
      </c>
      <c r="M5" s="363">
        <v>45915</v>
      </c>
      <c r="N5" s="364">
        <v>45929</v>
      </c>
      <c r="O5" s="364">
        <v>45930</v>
      </c>
      <c r="P5" s="363">
        <v>45954</v>
      </c>
      <c r="Q5" s="501">
        <v>45945</v>
      </c>
      <c r="R5" s="463">
        <v>45979</v>
      </c>
      <c r="S5" s="365">
        <v>45945</v>
      </c>
      <c r="T5" s="366">
        <v>45979</v>
      </c>
      <c r="U5" s="365">
        <v>46037</v>
      </c>
      <c r="V5" s="384">
        <v>46044</v>
      </c>
      <c r="W5" s="434" t="s">
        <v>346</v>
      </c>
      <c r="X5" s="500" t="s">
        <v>70</v>
      </c>
      <c r="Y5" s="429"/>
      <c r="Z5" s="510" t="s">
        <v>73</v>
      </c>
      <c r="AA5" s="510" t="s">
        <v>73</v>
      </c>
      <c r="AB5" s="513" t="s">
        <v>75</v>
      </c>
    </row>
    <row r="6" spans="1:28" s="361" customFormat="1" ht="128.25" hidden="1" customHeight="1" x14ac:dyDescent="0.2">
      <c r="A6" s="478">
        <v>4</v>
      </c>
      <c r="B6" s="482" t="s">
        <v>76</v>
      </c>
      <c r="C6" s="482" t="s">
        <v>76</v>
      </c>
      <c r="D6" s="490" t="s">
        <v>77</v>
      </c>
      <c r="E6" s="490" t="s">
        <v>78</v>
      </c>
      <c r="F6" s="490" t="s">
        <v>307</v>
      </c>
      <c r="G6" s="400" t="s">
        <v>50</v>
      </c>
      <c r="H6" s="406">
        <v>45943</v>
      </c>
      <c r="I6" s="396" t="s">
        <v>4</v>
      </c>
      <c r="J6" s="396" t="s">
        <v>4</v>
      </c>
      <c r="K6" s="396" t="s">
        <v>4</v>
      </c>
      <c r="L6" s="397" t="s">
        <v>4</v>
      </c>
      <c r="M6" s="367">
        <v>45943</v>
      </c>
      <c r="N6" s="367">
        <v>45968</v>
      </c>
      <c r="O6" s="367">
        <v>45961</v>
      </c>
      <c r="P6" s="367">
        <v>45968</v>
      </c>
      <c r="Q6" s="367">
        <v>45961</v>
      </c>
      <c r="R6" s="367">
        <v>45983</v>
      </c>
      <c r="S6" s="367">
        <v>45991</v>
      </c>
      <c r="T6" s="367" t="s">
        <v>347</v>
      </c>
      <c r="U6" s="367" t="s">
        <v>142</v>
      </c>
      <c r="V6" s="385">
        <v>46047</v>
      </c>
      <c r="W6" s="422" t="s">
        <v>348</v>
      </c>
      <c r="X6" s="432" t="s">
        <v>81</v>
      </c>
      <c r="Y6" s="432" t="s">
        <v>82</v>
      </c>
      <c r="Z6" s="510" t="s">
        <v>73</v>
      </c>
      <c r="AA6" s="510" t="s">
        <v>73</v>
      </c>
      <c r="AB6" s="513" t="s">
        <v>75</v>
      </c>
    </row>
    <row r="7" spans="1:28" s="361" customFormat="1" ht="89.25" customHeight="1" x14ac:dyDescent="0.2">
      <c r="A7" s="479">
        <v>5</v>
      </c>
      <c r="B7" s="481" t="s">
        <v>85</v>
      </c>
      <c r="C7" s="481" t="s">
        <v>85</v>
      </c>
      <c r="D7" s="490" t="s">
        <v>77</v>
      </c>
      <c r="E7" s="490" t="s">
        <v>86</v>
      </c>
      <c r="F7" s="490" t="s">
        <v>87</v>
      </c>
      <c r="G7" s="406">
        <v>45868</v>
      </c>
      <c r="H7" s="395" t="s">
        <v>88</v>
      </c>
      <c r="I7" s="398" t="s">
        <v>50</v>
      </c>
      <c r="J7" s="398" t="s">
        <v>50</v>
      </c>
      <c r="K7" s="398" t="s">
        <v>50</v>
      </c>
      <c r="L7" s="407" t="s">
        <v>50</v>
      </c>
      <c r="M7" s="368">
        <v>45915</v>
      </c>
      <c r="N7" s="369">
        <v>45951</v>
      </c>
      <c r="O7" s="369">
        <v>45961</v>
      </c>
      <c r="P7" s="369">
        <v>45960</v>
      </c>
      <c r="Q7" s="370">
        <v>45961</v>
      </c>
      <c r="R7" s="367">
        <v>45971</v>
      </c>
      <c r="S7" s="370">
        <v>45991</v>
      </c>
      <c r="T7" s="367">
        <v>46006</v>
      </c>
      <c r="U7" s="414">
        <v>45963</v>
      </c>
      <c r="V7" s="465">
        <v>46025</v>
      </c>
      <c r="W7" s="422" t="s">
        <v>349</v>
      </c>
      <c r="X7" s="432" t="s">
        <v>90</v>
      </c>
      <c r="Y7" s="432" t="s">
        <v>91</v>
      </c>
      <c r="Z7" s="510"/>
      <c r="AA7" s="510" t="s">
        <v>73</v>
      </c>
      <c r="AB7" s="513" t="s">
        <v>63</v>
      </c>
    </row>
    <row r="8" spans="1:28" s="372" customFormat="1" ht="35.25" hidden="1" customHeight="1" x14ac:dyDescent="0.2">
      <c r="A8" s="466">
        <v>6</v>
      </c>
      <c r="B8" s="481" t="s">
        <v>311</v>
      </c>
      <c r="C8" s="481" t="s">
        <v>311</v>
      </c>
      <c r="D8" s="490" t="s">
        <v>149</v>
      </c>
      <c r="E8" s="490" t="s">
        <v>150</v>
      </c>
      <c r="F8" s="490" t="s">
        <v>312</v>
      </c>
      <c r="G8" s="405">
        <v>45917</v>
      </c>
      <c r="H8" s="408" t="s">
        <v>152</v>
      </c>
      <c r="I8" s="409" t="s">
        <v>4</v>
      </c>
      <c r="J8" s="409" t="s">
        <v>4</v>
      </c>
      <c r="K8" s="409" t="s">
        <v>4</v>
      </c>
      <c r="L8" s="410" t="s">
        <v>4</v>
      </c>
      <c r="M8" s="367">
        <v>46037</v>
      </c>
      <c r="N8" s="386">
        <v>46037</v>
      </c>
      <c r="O8" s="371">
        <v>46037</v>
      </c>
      <c r="P8" s="386">
        <v>46054</v>
      </c>
      <c r="Q8" s="371">
        <v>46068</v>
      </c>
      <c r="R8" s="386">
        <v>46068</v>
      </c>
      <c r="S8" s="371">
        <v>46096</v>
      </c>
      <c r="T8" s="386">
        <v>46096</v>
      </c>
      <c r="U8" s="367">
        <v>46113</v>
      </c>
      <c r="V8" s="386">
        <v>46113</v>
      </c>
      <c r="W8" s="423" t="s">
        <v>350</v>
      </c>
      <c r="X8" s="504"/>
    </row>
    <row r="9" spans="1:28" s="361" customFormat="1" ht="97.5" customHeight="1" x14ac:dyDescent="0.2">
      <c r="A9" s="466">
        <v>7</v>
      </c>
      <c r="B9" s="481" t="s">
        <v>313</v>
      </c>
      <c r="C9" s="481" t="s">
        <v>313</v>
      </c>
      <c r="D9" s="490" t="s">
        <v>351</v>
      </c>
      <c r="E9" s="490" t="s">
        <v>97</v>
      </c>
      <c r="F9" s="490" t="s">
        <v>98</v>
      </c>
      <c r="G9" s="405">
        <v>45917</v>
      </c>
      <c r="H9" s="405">
        <v>45859</v>
      </c>
      <c r="I9" s="396" t="s">
        <v>4</v>
      </c>
      <c r="J9" s="396" t="s">
        <v>4</v>
      </c>
      <c r="K9" s="396" t="s">
        <v>4</v>
      </c>
      <c r="L9" s="397" t="s">
        <v>4</v>
      </c>
      <c r="M9" s="373">
        <v>45943</v>
      </c>
      <c r="N9" s="387">
        <v>45951</v>
      </c>
      <c r="O9" s="369">
        <v>45951</v>
      </c>
      <c r="P9" s="387">
        <v>45951</v>
      </c>
      <c r="Q9" s="367">
        <v>45981</v>
      </c>
      <c r="R9" s="386">
        <v>45981</v>
      </c>
      <c r="S9" s="367">
        <v>46006</v>
      </c>
      <c r="T9" s="386">
        <v>46006</v>
      </c>
      <c r="U9" s="386">
        <v>46010</v>
      </c>
      <c r="V9" s="388">
        <v>46025</v>
      </c>
      <c r="W9" s="511" t="s">
        <v>352</v>
      </c>
      <c r="X9" s="432" t="s">
        <v>100</v>
      </c>
      <c r="Y9" s="429"/>
      <c r="Z9" s="510"/>
      <c r="AA9" s="510" t="s">
        <v>73</v>
      </c>
      <c r="AB9" s="513" t="s">
        <v>63</v>
      </c>
    </row>
    <row r="10" spans="1:28" s="361" customFormat="1" ht="70.5" customHeight="1" x14ac:dyDescent="0.2">
      <c r="A10" s="478">
        <v>8</v>
      </c>
      <c r="B10" s="481" t="s">
        <v>108</v>
      </c>
      <c r="C10" s="481" t="s">
        <v>108</v>
      </c>
      <c r="D10" s="490" t="s">
        <v>109</v>
      </c>
      <c r="E10" s="490" t="s">
        <v>110</v>
      </c>
      <c r="F10" s="490" t="s">
        <v>111</v>
      </c>
      <c r="G10" s="405">
        <v>45917</v>
      </c>
      <c r="H10" s="405">
        <v>45929</v>
      </c>
      <c r="I10" s="396" t="s">
        <v>93</v>
      </c>
      <c r="J10" s="396" t="s">
        <v>4</v>
      </c>
      <c r="K10" s="396" t="s">
        <v>4</v>
      </c>
      <c r="L10" s="397" t="s">
        <v>4</v>
      </c>
      <c r="M10" s="373">
        <v>45943</v>
      </c>
      <c r="N10" s="387">
        <v>45951</v>
      </c>
      <c r="O10" s="369">
        <v>45957</v>
      </c>
      <c r="P10" s="387">
        <v>45951</v>
      </c>
      <c r="Q10" s="367">
        <v>45957</v>
      </c>
      <c r="R10" s="386">
        <v>45968</v>
      </c>
      <c r="S10" s="367">
        <v>45991</v>
      </c>
      <c r="T10" s="386">
        <v>45991</v>
      </c>
      <c r="U10" s="367" t="s">
        <v>142</v>
      </c>
      <c r="V10" s="388">
        <v>46026</v>
      </c>
      <c r="W10" s="511" t="s">
        <v>353</v>
      </c>
      <c r="X10" s="432" t="s">
        <v>100</v>
      </c>
      <c r="Y10" s="429"/>
      <c r="Z10" s="510"/>
      <c r="AA10" s="510" t="s">
        <v>73</v>
      </c>
      <c r="AB10" s="513" t="s">
        <v>63</v>
      </c>
    </row>
    <row r="11" spans="1:28" s="361" customFormat="1" ht="53.25" customHeight="1" x14ac:dyDescent="0.2">
      <c r="A11" s="479">
        <v>9</v>
      </c>
      <c r="B11" s="481" t="s">
        <v>126</v>
      </c>
      <c r="C11" s="481" t="s">
        <v>126</v>
      </c>
      <c r="D11" s="490" t="s">
        <v>127</v>
      </c>
      <c r="E11" s="490" t="s">
        <v>354</v>
      </c>
      <c r="F11" s="490" t="s">
        <v>129</v>
      </c>
      <c r="G11" s="405">
        <v>45917</v>
      </c>
      <c r="H11" s="405">
        <v>45929</v>
      </c>
      <c r="I11" s="411" t="s">
        <v>4</v>
      </c>
      <c r="J11" s="411" t="s">
        <v>4</v>
      </c>
      <c r="K11" s="411" t="s">
        <v>4</v>
      </c>
      <c r="L11" s="412" t="s">
        <v>4</v>
      </c>
      <c r="M11" s="373">
        <v>45943</v>
      </c>
      <c r="N11" s="387">
        <v>45951</v>
      </c>
      <c r="O11" s="369">
        <v>45943</v>
      </c>
      <c r="P11" s="387">
        <v>45951</v>
      </c>
      <c r="Q11" s="367">
        <v>45961</v>
      </c>
      <c r="R11" s="386">
        <v>45968</v>
      </c>
      <c r="S11" s="367">
        <v>45972</v>
      </c>
      <c r="T11" s="386">
        <v>45978</v>
      </c>
      <c r="U11" s="367" t="s">
        <v>142</v>
      </c>
      <c r="V11" s="386">
        <v>46032</v>
      </c>
      <c r="W11" s="424" t="s">
        <v>355</v>
      </c>
      <c r="X11" s="429" t="s">
        <v>356</v>
      </c>
      <c r="Y11" s="429"/>
      <c r="Z11" s="510"/>
      <c r="AA11" s="510" t="s">
        <v>73</v>
      </c>
      <c r="AB11" s="513" t="s">
        <v>63</v>
      </c>
    </row>
    <row r="12" spans="1:28" s="361" customFormat="1" ht="35.25" hidden="1" customHeight="1" x14ac:dyDescent="0.2">
      <c r="A12" s="466">
        <v>10</v>
      </c>
      <c r="B12" s="481" t="s">
        <v>320</v>
      </c>
      <c r="C12" s="481" t="s">
        <v>320</v>
      </c>
      <c r="D12" s="490" t="s">
        <v>136</v>
      </c>
      <c r="E12" s="490" t="s">
        <v>137</v>
      </c>
      <c r="F12" s="490" t="s">
        <v>129</v>
      </c>
      <c r="G12" s="405">
        <v>45917</v>
      </c>
      <c r="H12" s="404" t="s">
        <v>138</v>
      </c>
      <c r="I12" s="396" t="s">
        <v>4</v>
      </c>
      <c r="J12" s="396" t="s">
        <v>4</v>
      </c>
      <c r="K12" s="396" t="s">
        <v>4</v>
      </c>
      <c r="L12" s="397" t="s">
        <v>4</v>
      </c>
      <c r="M12" s="369">
        <v>45955</v>
      </c>
      <c r="N12" s="387">
        <v>45954</v>
      </c>
      <c r="O12" s="367">
        <v>45986</v>
      </c>
      <c r="P12" s="386">
        <v>45958</v>
      </c>
      <c r="Q12" s="367">
        <v>45986</v>
      </c>
      <c r="R12" s="386">
        <v>45989</v>
      </c>
      <c r="S12" s="367">
        <v>46024</v>
      </c>
      <c r="T12" s="386">
        <v>46024</v>
      </c>
      <c r="U12" s="367" t="s">
        <v>142</v>
      </c>
      <c r="V12" s="389">
        <v>45991</v>
      </c>
      <c r="W12" s="425" t="s">
        <v>4</v>
      </c>
      <c r="X12" s="429"/>
      <c r="Y12" s="429"/>
      <c r="Z12" s="429"/>
      <c r="AA12" s="429"/>
    </row>
    <row r="13" spans="1:28" s="361" customFormat="1" ht="35.25" hidden="1" customHeight="1" x14ac:dyDescent="0.2">
      <c r="A13" s="466">
        <v>11</v>
      </c>
      <c r="B13" s="481" t="s">
        <v>322</v>
      </c>
      <c r="C13" s="481" t="s">
        <v>323</v>
      </c>
      <c r="D13" s="490" t="s">
        <v>156</v>
      </c>
      <c r="E13" s="490" t="s">
        <v>157</v>
      </c>
      <c r="F13" s="490" t="s">
        <v>324</v>
      </c>
      <c r="G13" s="405">
        <v>45917</v>
      </c>
      <c r="H13" s="405">
        <v>45901</v>
      </c>
      <c r="I13" s="411"/>
      <c r="J13" s="411"/>
      <c r="K13" s="411" t="s">
        <v>4</v>
      </c>
      <c r="L13" s="412" t="s">
        <v>4</v>
      </c>
      <c r="M13" s="367">
        <v>45950</v>
      </c>
      <c r="N13" s="390">
        <v>45959</v>
      </c>
      <c r="O13" s="367">
        <v>46006</v>
      </c>
      <c r="P13" s="390">
        <v>46006</v>
      </c>
      <c r="Q13" s="367">
        <v>46037</v>
      </c>
      <c r="R13" s="386">
        <v>46037</v>
      </c>
      <c r="S13" s="367">
        <v>46068</v>
      </c>
      <c r="T13" s="386">
        <v>46068</v>
      </c>
      <c r="U13" s="367">
        <v>46096</v>
      </c>
      <c r="V13" s="389">
        <v>46223</v>
      </c>
      <c r="W13" s="425" t="s">
        <v>4</v>
      </c>
      <c r="X13" s="505"/>
    </row>
    <row r="14" spans="1:28" s="361" customFormat="1" ht="35.25" hidden="1" customHeight="1" x14ac:dyDescent="0.2">
      <c r="A14" s="479">
        <v>12</v>
      </c>
      <c r="B14" s="335" t="s">
        <v>341</v>
      </c>
      <c r="C14" s="467" t="s">
        <v>4</v>
      </c>
      <c r="D14" s="490" t="s">
        <v>4</v>
      </c>
      <c r="E14" s="490" t="s">
        <v>120</v>
      </c>
      <c r="F14" s="490" t="s">
        <v>121</v>
      </c>
      <c r="G14" s="411" t="s">
        <v>4</v>
      </c>
      <c r="H14" s="411" t="s">
        <v>4</v>
      </c>
      <c r="I14" s="411" t="s">
        <v>4</v>
      </c>
      <c r="J14" s="411" t="s">
        <v>4</v>
      </c>
      <c r="K14" s="411" t="s">
        <v>4</v>
      </c>
      <c r="L14" s="411" t="s">
        <v>4</v>
      </c>
      <c r="M14" s="396" t="s">
        <v>4</v>
      </c>
      <c r="N14" s="396" t="s">
        <v>4</v>
      </c>
      <c r="O14" s="396"/>
      <c r="P14" s="396"/>
      <c r="Q14" s="396" t="s">
        <v>4</v>
      </c>
      <c r="R14" s="433">
        <v>45978</v>
      </c>
      <c r="S14" s="396" t="s">
        <v>4</v>
      </c>
      <c r="T14" s="396" t="s">
        <v>4</v>
      </c>
      <c r="U14" s="433">
        <v>46003</v>
      </c>
      <c r="V14" s="433">
        <v>46091</v>
      </c>
      <c r="W14" s="425" t="s">
        <v>122</v>
      </c>
      <c r="X14" s="429" t="s">
        <v>123</v>
      </c>
    </row>
    <row r="15" spans="1:28" s="361" customFormat="1" ht="29.25" hidden="1" customHeight="1" x14ac:dyDescent="0.2">
      <c r="A15" s="479">
        <v>13</v>
      </c>
      <c r="B15" s="483" t="s">
        <v>180</v>
      </c>
      <c r="C15" s="483" t="s">
        <v>180</v>
      </c>
      <c r="D15" s="491" t="s">
        <v>181</v>
      </c>
      <c r="E15" s="490" t="s">
        <v>182</v>
      </c>
      <c r="F15" s="492" t="s">
        <v>4</v>
      </c>
      <c r="G15" s="375" t="s">
        <v>4</v>
      </c>
      <c r="H15" s="375" t="s">
        <v>4</v>
      </c>
      <c r="I15" s="375" t="s">
        <v>4</v>
      </c>
      <c r="J15" s="375" t="s">
        <v>4</v>
      </c>
      <c r="K15" s="375" t="s">
        <v>4</v>
      </c>
      <c r="L15" s="375" t="s">
        <v>4</v>
      </c>
      <c r="M15" s="376">
        <v>46112</v>
      </c>
      <c r="N15" s="391">
        <v>46006</v>
      </c>
      <c r="O15" s="376">
        <v>46112</v>
      </c>
      <c r="P15" s="391">
        <v>46037</v>
      </c>
      <c r="Q15" s="376">
        <v>46142</v>
      </c>
      <c r="R15" s="391">
        <v>46068</v>
      </c>
      <c r="S15" s="376">
        <v>46173</v>
      </c>
      <c r="T15" s="391">
        <v>46096</v>
      </c>
      <c r="U15" s="376">
        <v>46188</v>
      </c>
      <c r="V15" s="496">
        <v>46204</v>
      </c>
      <c r="W15" s="425" t="s">
        <v>4</v>
      </c>
      <c r="X15" s="429"/>
    </row>
    <row r="16" spans="1:28" s="361" customFormat="1" ht="30" hidden="1" x14ac:dyDescent="0.2">
      <c r="A16" s="479">
        <v>14</v>
      </c>
      <c r="B16" s="467" t="s">
        <v>327</v>
      </c>
      <c r="C16" s="467" t="s">
        <v>327</v>
      </c>
      <c r="D16" s="490" t="s">
        <v>204</v>
      </c>
      <c r="E16" s="490" t="s">
        <v>328</v>
      </c>
      <c r="F16" s="490" t="s">
        <v>329</v>
      </c>
      <c r="G16" s="360" t="s">
        <v>4</v>
      </c>
      <c r="H16" s="360" t="s">
        <v>330</v>
      </c>
      <c r="I16" s="360" t="s">
        <v>4</v>
      </c>
      <c r="J16" s="360" t="s">
        <v>4</v>
      </c>
      <c r="K16" s="360" t="s">
        <v>4</v>
      </c>
      <c r="L16" s="360" t="s">
        <v>4</v>
      </c>
      <c r="M16" s="377">
        <v>46037</v>
      </c>
      <c r="N16" s="392">
        <v>46037</v>
      </c>
      <c r="O16" s="377">
        <v>46037</v>
      </c>
      <c r="P16" s="392">
        <v>46068</v>
      </c>
      <c r="Q16" s="377">
        <v>46068</v>
      </c>
      <c r="R16" s="392">
        <v>46096</v>
      </c>
      <c r="S16" s="377">
        <v>46096</v>
      </c>
      <c r="T16" s="392">
        <v>46127</v>
      </c>
      <c r="U16" s="377" t="s">
        <v>4</v>
      </c>
      <c r="V16" s="392">
        <v>46174</v>
      </c>
      <c r="W16" s="425" t="s">
        <v>4</v>
      </c>
      <c r="X16" s="429"/>
    </row>
    <row r="17" spans="1:27" s="361" customFormat="1" ht="15" hidden="1" customHeight="1" x14ac:dyDescent="0.2">
      <c r="A17" s="479">
        <v>15</v>
      </c>
      <c r="B17" s="467" t="s">
        <v>331</v>
      </c>
      <c r="C17" s="467" t="s">
        <v>331</v>
      </c>
      <c r="D17" s="490" t="s">
        <v>186</v>
      </c>
      <c r="E17" s="490" t="s">
        <v>187</v>
      </c>
      <c r="F17" s="490" t="s">
        <v>183</v>
      </c>
      <c r="G17" s="360" t="s">
        <v>4</v>
      </c>
      <c r="H17" s="360" t="s">
        <v>4</v>
      </c>
      <c r="I17" s="360" t="s">
        <v>4</v>
      </c>
      <c r="J17" s="360" t="s">
        <v>4</v>
      </c>
      <c r="K17" s="360" t="s">
        <v>4</v>
      </c>
      <c r="L17" s="360" t="s">
        <v>4</v>
      </c>
      <c r="M17" s="377">
        <v>46027</v>
      </c>
      <c r="N17" s="392">
        <v>46027</v>
      </c>
      <c r="O17" s="377">
        <v>46027</v>
      </c>
      <c r="P17" s="392">
        <v>46068</v>
      </c>
      <c r="Q17" s="377">
        <v>46054</v>
      </c>
      <c r="R17" s="392">
        <v>46096</v>
      </c>
      <c r="S17" s="377">
        <v>46082</v>
      </c>
      <c r="T17" s="392">
        <v>46127</v>
      </c>
      <c r="U17" s="377">
        <v>46107</v>
      </c>
      <c r="V17" s="392">
        <v>46174</v>
      </c>
      <c r="W17" s="425" t="s">
        <v>4</v>
      </c>
      <c r="X17" s="429"/>
    </row>
    <row r="18" spans="1:27" s="361" customFormat="1" ht="30" hidden="1" x14ac:dyDescent="0.2">
      <c r="A18" s="479">
        <v>16</v>
      </c>
      <c r="B18" s="467" t="s">
        <v>332</v>
      </c>
      <c r="C18" s="467" t="s">
        <v>332</v>
      </c>
      <c r="D18" s="490" t="s">
        <v>251</v>
      </c>
      <c r="E18" s="490" t="s">
        <v>4</v>
      </c>
      <c r="F18" s="490" t="s">
        <v>333</v>
      </c>
      <c r="G18" s="360" t="s">
        <v>4</v>
      </c>
      <c r="H18" s="360" t="s">
        <v>4</v>
      </c>
      <c r="I18" s="360" t="s">
        <v>4</v>
      </c>
      <c r="J18" s="360" t="s">
        <v>4</v>
      </c>
      <c r="K18" s="360" t="s">
        <v>4</v>
      </c>
      <c r="L18" s="360" t="s">
        <v>4</v>
      </c>
      <c r="M18" s="377">
        <v>46037</v>
      </c>
      <c r="N18" s="392">
        <v>46037</v>
      </c>
      <c r="O18" s="377" t="s">
        <v>4</v>
      </c>
      <c r="P18" s="392">
        <v>46068</v>
      </c>
      <c r="Q18" s="377">
        <v>46068</v>
      </c>
      <c r="R18" s="392">
        <v>46096</v>
      </c>
      <c r="S18" s="377">
        <v>46096</v>
      </c>
      <c r="T18" s="392">
        <v>46127</v>
      </c>
      <c r="U18" s="377" t="s">
        <v>4</v>
      </c>
      <c r="V18" s="392">
        <v>46174</v>
      </c>
      <c r="W18" s="425" t="s">
        <v>4</v>
      </c>
      <c r="X18" s="429"/>
    </row>
    <row r="19" spans="1:27" s="361" customFormat="1" ht="30" hidden="1" x14ac:dyDescent="0.2">
      <c r="A19" s="479">
        <v>17</v>
      </c>
      <c r="B19" s="467" t="s">
        <v>194</v>
      </c>
      <c r="C19" s="467" t="s">
        <v>334</v>
      </c>
      <c r="D19" s="490" t="s">
        <v>314</v>
      </c>
      <c r="E19" s="490" t="s">
        <v>4</v>
      </c>
      <c r="F19" s="490" t="s">
        <v>357</v>
      </c>
      <c r="G19" s="360" t="s">
        <v>4</v>
      </c>
      <c r="H19" s="360" t="s">
        <v>118</v>
      </c>
      <c r="I19" s="360" t="s">
        <v>4</v>
      </c>
      <c r="J19" s="360" t="s">
        <v>4</v>
      </c>
      <c r="K19" s="360" t="s">
        <v>4</v>
      </c>
      <c r="L19" s="360" t="s">
        <v>4</v>
      </c>
      <c r="M19" s="377">
        <v>46027</v>
      </c>
      <c r="N19" s="392">
        <v>46027</v>
      </c>
      <c r="O19" s="377" t="s">
        <v>4</v>
      </c>
      <c r="P19" s="392">
        <v>46068</v>
      </c>
      <c r="Q19" s="377" t="s">
        <v>336</v>
      </c>
      <c r="R19" s="392">
        <v>46096</v>
      </c>
      <c r="S19" s="377">
        <v>46390</v>
      </c>
      <c r="T19" s="392">
        <v>46127</v>
      </c>
      <c r="U19" s="377" t="s">
        <v>183</v>
      </c>
      <c r="V19" s="393" t="s">
        <v>183</v>
      </c>
      <c r="W19" s="425" t="s">
        <v>4</v>
      </c>
      <c r="X19" s="429"/>
      <c r="Y19" s="429"/>
      <c r="Z19" s="429"/>
      <c r="AA19" s="429"/>
    </row>
    <row r="20" spans="1:27" s="361" customFormat="1" hidden="1" x14ac:dyDescent="0.2">
      <c r="A20" s="479">
        <v>18</v>
      </c>
      <c r="B20" s="467" t="s">
        <v>337</v>
      </c>
      <c r="C20" s="467" t="s">
        <v>337</v>
      </c>
      <c r="D20" s="490" t="s">
        <v>314</v>
      </c>
      <c r="E20" s="490" t="s">
        <v>4</v>
      </c>
      <c r="F20" s="490" t="s">
        <v>358</v>
      </c>
      <c r="G20" s="374" t="s">
        <v>4</v>
      </c>
      <c r="H20" s="374" t="s">
        <v>202</v>
      </c>
      <c r="I20" s="374" t="s">
        <v>4</v>
      </c>
      <c r="J20" s="374" t="s">
        <v>4</v>
      </c>
      <c r="K20" s="374" t="s">
        <v>4</v>
      </c>
      <c r="L20" s="374" t="s">
        <v>4</v>
      </c>
      <c r="M20" s="377">
        <v>46027</v>
      </c>
      <c r="N20" s="392">
        <v>46027</v>
      </c>
      <c r="O20" s="377">
        <v>46027</v>
      </c>
      <c r="P20" s="392">
        <v>46068</v>
      </c>
      <c r="Q20" s="377">
        <v>46113</v>
      </c>
      <c r="R20" s="392">
        <v>46096</v>
      </c>
      <c r="S20" s="377">
        <v>46390</v>
      </c>
      <c r="T20" s="392">
        <v>46127</v>
      </c>
      <c r="U20" s="377">
        <v>46402</v>
      </c>
      <c r="V20" s="497">
        <v>46417</v>
      </c>
      <c r="W20" s="425" t="s">
        <v>4</v>
      </c>
      <c r="X20" s="505"/>
    </row>
    <row r="21" spans="1:27" s="378" customFormat="1" ht="30" hidden="1" x14ac:dyDescent="0.2">
      <c r="A21" s="479">
        <v>19</v>
      </c>
      <c r="B21" s="467" t="s">
        <v>115</v>
      </c>
      <c r="C21" s="467" t="s">
        <v>338</v>
      </c>
      <c r="D21" s="490" t="s">
        <v>116</v>
      </c>
      <c r="E21" s="490" t="s">
        <v>4</v>
      </c>
      <c r="F21" s="490" t="s">
        <v>98</v>
      </c>
      <c r="G21" s="374" t="s">
        <v>4</v>
      </c>
      <c r="H21" s="362" t="s">
        <v>118</v>
      </c>
      <c r="I21" s="374" t="s">
        <v>4</v>
      </c>
      <c r="J21" s="374" t="s">
        <v>4</v>
      </c>
      <c r="K21" s="374" t="s">
        <v>4</v>
      </c>
      <c r="L21" s="374" t="s">
        <v>4</v>
      </c>
      <c r="M21" s="377">
        <v>46027</v>
      </c>
      <c r="N21" s="392">
        <v>46027</v>
      </c>
      <c r="O21" s="377" t="s">
        <v>4</v>
      </c>
      <c r="P21" s="392">
        <v>46068</v>
      </c>
      <c r="Q21" s="377" t="s">
        <v>336</v>
      </c>
      <c r="R21" s="392">
        <v>46096</v>
      </c>
      <c r="S21" s="377">
        <v>46222</v>
      </c>
      <c r="T21" s="392">
        <v>46127</v>
      </c>
      <c r="U21" s="377" t="s">
        <v>183</v>
      </c>
      <c r="V21" s="393" t="s">
        <v>183</v>
      </c>
      <c r="W21" s="425" t="s">
        <v>4</v>
      </c>
      <c r="X21" s="430"/>
      <c r="Y21" s="430"/>
      <c r="Z21" s="430"/>
      <c r="AA21" s="430"/>
    </row>
    <row r="22" spans="1:27" ht="30" hidden="1" x14ac:dyDescent="0.2">
      <c r="A22" s="479">
        <v>20</v>
      </c>
      <c r="B22" s="467" t="s">
        <v>339</v>
      </c>
      <c r="C22" s="467" t="s">
        <v>339</v>
      </c>
      <c r="D22" s="490" t="s">
        <v>204</v>
      </c>
      <c r="E22" s="490" t="s">
        <v>205</v>
      </c>
      <c r="F22" s="490" t="s">
        <v>340</v>
      </c>
      <c r="G22" s="374" t="s">
        <v>4</v>
      </c>
      <c r="H22" s="374" t="s">
        <v>118</v>
      </c>
      <c r="I22" s="374" t="s">
        <v>4</v>
      </c>
      <c r="J22" s="374" t="s">
        <v>4</v>
      </c>
      <c r="K22" s="374" t="s">
        <v>4</v>
      </c>
      <c r="L22" s="374" t="s">
        <v>4</v>
      </c>
      <c r="M22" s="377">
        <v>46037</v>
      </c>
      <c r="N22" s="392">
        <v>46037</v>
      </c>
      <c r="O22" s="377" t="s">
        <v>4</v>
      </c>
      <c r="P22" s="392">
        <v>46068</v>
      </c>
      <c r="Q22" s="377">
        <v>46068</v>
      </c>
      <c r="R22" s="392">
        <v>46096</v>
      </c>
      <c r="S22" s="377">
        <v>46096</v>
      </c>
      <c r="T22" s="392">
        <v>46127</v>
      </c>
      <c r="U22" s="377" t="s">
        <v>4</v>
      </c>
      <c r="V22" s="393" t="s">
        <v>4</v>
      </c>
      <c r="W22" s="425" t="s">
        <v>4</v>
      </c>
      <c r="X22" s="431"/>
      <c r="Y22" s="431"/>
      <c r="Z22" s="431"/>
      <c r="AA22" s="431"/>
    </row>
    <row r="23" spans="1:27" s="361" customFormat="1" hidden="1" x14ac:dyDescent="0.2">
      <c r="A23" s="479">
        <v>21</v>
      </c>
      <c r="B23" s="467" t="s">
        <v>177</v>
      </c>
      <c r="C23" s="467" t="s">
        <v>4</v>
      </c>
      <c r="D23" s="490" t="s">
        <v>178</v>
      </c>
      <c r="E23" s="490" t="s">
        <v>4</v>
      </c>
      <c r="F23" s="490" t="s">
        <v>264</v>
      </c>
      <c r="G23" s="374" t="s">
        <v>4</v>
      </c>
      <c r="H23" s="499">
        <v>45985</v>
      </c>
      <c r="I23" s="374" t="s">
        <v>4</v>
      </c>
      <c r="J23" s="374" t="s">
        <v>4</v>
      </c>
      <c r="K23" s="374" t="s">
        <v>4</v>
      </c>
      <c r="L23" s="374" t="s">
        <v>4</v>
      </c>
      <c r="M23" s="498">
        <v>46027</v>
      </c>
      <c r="N23" s="360" t="s">
        <v>4</v>
      </c>
      <c r="O23" s="498">
        <v>46027</v>
      </c>
      <c r="P23" s="360"/>
      <c r="Q23" s="498">
        <v>46054</v>
      </c>
      <c r="R23" s="360" t="s">
        <v>4</v>
      </c>
      <c r="S23" s="498">
        <v>46096</v>
      </c>
      <c r="T23" s="360" t="s">
        <v>4</v>
      </c>
      <c r="U23" s="498">
        <v>46223</v>
      </c>
      <c r="V23" s="498">
        <v>46223</v>
      </c>
      <c r="W23" s="426" t="s">
        <v>4</v>
      </c>
      <c r="X23" s="505"/>
    </row>
    <row r="24" spans="1:27" hidden="1" x14ac:dyDescent="0.2">
      <c r="A24" s="466">
        <v>22</v>
      </c>
      <c r="B24" s="467" t="s">
        <v>359</v>
      </c>
      <c r="C24" s="467" t="s">
        <v>4</v>
      </c>
      <c r="D24" s="490" t="s">
        <v>166</v>
      </c>
      <c r="E24" s="490" t="s">
        <v>4</v>
      </c>
      <c r="F24" s="490" t="s">
        <v>167</v>
      </c>
      <c r="G24" s="495">
        <v>45988</v>
      </c>
      <c r="H24" s="418">
        <v>45985</v>
      </c>
      <c r="I24" s="381" t="s">
        <v>4</v>
      </c>
      <c r="J24" s="381" t="s">
        <v>4</v>
      </c>
      <c r="K24" s="381" t="s">
        <v>4</v>
      </c>
      <c r="L24" s="381" t="s">
        <v>4</v>
      </c>
      <c r="M24" s="418">
        <v>46006</v>
      </c>
      <c r="N24" s="380" t="s">
        <v>4</v>
      </c>
      <c r="O24" s="418">
        <v>46006</v>
      </c>
      <c r="P24" s="380"/>
      <c r="Q24" s="418">
        <v>46031</v>
      </c>
      <c r="R24" s="380" t="s">
        <v>4</v>
      </c>
      <c r="S24" s="418">
        <v>46055</v>
      </c>
      <c r="T24" s="380" t="s">
        <v>4</v>
      </c>
      <c r="U24" s="418">
        <v>46146</v>
      </c>
      <c r="V24" s="418">
        <v>46159</v>
      </c>
      <c r="W24" s="427" t="s">
        <v>4</v>
      </c>
      <c r="X24" s="431"/>
    </row>
    <row r="25" spans="1:27" ht="15" customHeight="1" x14ac:dyDescent="0.2">
      <c r="B25" s="460"/>
      <c r="C25" s="460"/>
      <c r="D25" s="461"/>
      <c r="E25" s="461"/>
      <c r="F25" s="461"/>
    </row>
    <row r="26" spans="1:27" ht="15" customHeight="1" x14ac:dyDescent="0.2">
      <c r="B26" s="484" t="s">
        <v>267</v>
      </c>
      <c r="C26" s="484"/>
      <c r="D26" s="844" t="s">
        <v>268</v>
      </c>
      <c r="E26" s="844"/>
      <c r="F26" s="493" t="s">
        <v>269</v>
      </c>
    </row>
    <row r="27" spans="1:27" ht="107.5" customHeight="1" x14ac:dyDescent="0.2">
      <c r="B27" s="462" t="s">
        <v>270</v>
      </c>
      <c r="C27" s="460"/>
      <c r="D27" s="841" t="s">
        <v>271</v>
      </c>
      <c r="E27" s="841"/>
      <c r="F27" s="487" t="s">
        <v>272</v>
      </c>
    </row>
    <row r="28" spans="1:27" ht="85" customHeight="1" x14ac:dyDescent="0.2">
      <c r="B28" s="460" t="s">
        <v>273</v>
      </c>
      <c r="C28" s="460"/>
      <c r="D28" s="841" t="s">
        <v>360</v>
      </c>
      <c r="E28" s="841"/>
      <c r="F28" s="487" t="s">
        <v>275</v>
      </c>
    </row>
    <row r="29" spans="1:27" ht="67" customHeight="1" x14ac:dyDescent="0.2">
      <c r="B29" s="460" t="s">
        <v>276</v>
      </c>
      <c r="C29" s="460"/>
      <c r="D29" s="841" t="s">
        <v>361</v>
      </c>
      <c r="E29" s="841"/>
      <c r="F29" s="487" t="s">
        <v>278</v>
      </c>
    </row>
    <row r="30" spans="1:27" ht="15" customHeight="1" x14ac:dyDescent="0.2">
      <c r="B30" s="460" t="s">
        <v>279</v>
      </c>
      <c r="C30" s="460"/>
      <c r="D30" s="840" t="s">
        <v>280</v>
      </c>
      <c r="E30" s="840"/>
      <c r="F30" s="461" t="s">
        <v>281</v>
      </c>
    </row>
    <row r="31" spans="1:27" ht="27" customHeight="1" x14ac:dyDescent="0.2">
      <c r="B31" s="462" t="s">
        <v>282</v>
      </c>
      <c r="C31" s="460"/>
      <c r="D31" s="841" t="s">
        <v>283</v>
      </c>
      <c r="E31" s="841"/>
      <c r="F31" s="461" t="s">
        <v>284</v>
      </c>
    </row>
  </sheetData>
  <autoFilter ref="A2:Y24" xr:uid="{EFB06EC2-68CD-4CF0-8FA6-55723AAA590E}">
    <filterColumn colId="21">
      <filters>
        <dateGroupItem year="2026" month="1" day="3" dateTimeGrouping="day"/>
        <dateGroupItem year="2026" month="1" day="4" dateTimeGrouping="day"/>
        <dateGroupItem year="2026" month="1" day="10" dateTimeGrouping="day"/>
      </filters>
    </filterColumn>
  </autoFilter>
  <mergeCells count="9">
    <mergeCell ref="D30:E30"/>
    <mergeCell ref="D31:E31"/>
    <mergeCell ref="G1:L1"/>
    <mergeCell ref="M1:T1"/>
    <mergeCell ref="U1:V1"/>
    <mergeCell ref="D27:E27"/>
    <mergeCell ref="D28:E28"/>
    <mergeCell ref="D29:E29"/>
    <mergeCell ref="D26:E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354AD-C3FC-4995-9217-B744914ABCDB}">
  <dimension ref="A1:AA41"/>
  <sheetViews>
    <sheetView zoomScale="150" zoomScaleNormal="150" workbookViewId="0">
      <pane xSplit="2" ySplit="3" topLeftCell="L18" activePane="bottomRight" state="frozen"/>
      <selection pane="topRight"/>
      <selection pane="bottomLeft"/>
      <selection pane="bottomRight" activeCell="S5" sqref="S5"/>
    </sheetView>
  </sheetViews>
  <sheetFormatPr baseColWidth="10" defaultColWidth="8.83203125" defaultRowHeight="15" x14ac:dyDescent="0.2"/>
  <cols>
    <col min="1" max="1" width="3.5" style="8" bestFit="1" customWidth="1"/>
    <col min="2" max="2" width="42" customWidth="1"/>
    <col min="3" max="3" width="41.5" style="8" hidden="1" customWidth="1"/>
    <col min="4" max="5" width="13.5" style="8" hidden="1" customWidth="1"/>
    <col min="6" max="11" width="10.5" style="8" hidden="1" customWidth="1"/>
    <col min="12" max="14" width="12.5" style="8" customWidth="1"/>
    <col min="15" max="17" width="15.5" style="8" customWidth="1"/>
    <col min="18" max="18" width="15.5" customWidth="1"/>
    <col min="19" max="19" width="16.5" customWidth="1"/>
    <col min="20" max="22" width="15.5" customWidth="1"/>
    <col min="23" max="23" width="50.5" style="144" customWidth="1"/>
    <col min="24" max="24" width="18.5" style="144" customWidth="1"/>
    <col min="26" max="26" width="27.5" customWidth="1"/>
    <col min="27" max="27" width="44.5" customWidth="1"/>
  </cols>
  <sheetData>
    <row r="1" spans="1:27" ht="16" x14ac:dyDescent="0.25">
      <c r="A1" s="160"/>
      <c r="B1" s="160"/>
      <c r="C1" s="160"/>
      <c r="D1" s="167"/>
      <c r="E1" s="167"/>
      <c r="F1" s="850" t="s">
        <v>1</v>
      </c>
      <c r="G1" s="851"/>
      <c r="H1" s="851"/>
      <c r="I1" s="851"/>
      <c r="J1" s="851"/>
      <c r="K1" s="852"/>
      <c r="L1" s="853" t="s">
        <v>2</v>
      </c>
      <c r="M1" s="853"/>
      <c r="N1" s="853"/>
      <c r="O1" s="853"/>
      <c r="P1" s="853"/>
      <c r="Q1" s="854"/>
      <c r="R1" s="848" t="s">
        <v>3</v>
      </c>
      <c r="S1" s="849"/>
      <c r="T1" s="155" t="s">
        <v>4</v>
      </c>
      <c r="U1" s="155" t="s">
        <v>4</v>
      </c>
      <c r="V1" s="158"/>
      <c r="W1" s="159"/>
      <c r="X1" s="848"/>
      <c r="Y1" s="849"/>
      <c r="Z1" s="155"/>
      <c r="AA1" s="155"/>
    </row>
    <row r="2" spans="1:27" ht="32" x14ac:dyDescent="0.25">
      <c r="A2" s="145" t="s">
        <v>5</v>
      </c>
      <c r="B2" s="146" t="s">
        <v>6</v>
      </c>
      <c r="C2" s="146" t="s">
        <v>362</v>
      </c>
      <c r="D2" s="168" t="s">
        <v>363</v>
      </c>
      <c r="E2" s="168" t="s">
        <v>364</v>
      </c>
      <c r="F2" s="166" t="s">
        <v>365</v>
      </c>
      <c r="G2" s="166" t="s">
        <v>15</v>
      </c>
      <c r="H2" s="166" t="s">
        <v>16</v>
      </c>
      <c r="I2" s="166" t="s">
        <v>17</v>
      </c>
      <c r="J2" s="166" t="s">
        <v>18</v>
      </c>
      <c r="K2" s="166" t="s">
        <v>19</v>
      </c>
      <c r="L2" s="157" t="s">
        <v>20</v>
      </c>
      <c r="M2" s="157" t="s">
        <v>366</v>
      </c>
      <c r="N2" s="157" t="s">
        <v>367</v>
      </c>
      <c r="O2" s="157" t="s">
        <v>366</v>
      </c>
      <c r="P2" s="157" t="s">
        <v>296</v>
      </c>
      <c r="Q2" s="157" t="s">
        <v>366</v>
      </c>
      <c r="R2" s="147" t="s">
        <v>297</v>
      </c>
      <c r="S2" s="147" t="s">
        <v>29</v>
      </c>
      <c r="T2" s="147" t="s">
        <v>368</v>
      </c>
      <c r="U2" s="147" t="s">
        <v>32</v>
      </c>
      <c r="V2" s="157"/>
      <c r="W2" s="157"/>
      <c r="X2" s="157"/>
      <c r="Y2" s="157"/>
      <c r="Z2" s="147"/>
      <c r="AA2" s="147"/>
    </row>
    <row r="3" spans="1:27" s="117" customFormat="1" ht="29.25" customHeight="1" x14ac:dyDescent="0.2">
      <c r="A3" s="169">
        <v>1</v>
      </c>
      <c r="B3" s="170" t="s">
        <v>45</v>
      </c>
      <c r="C3" s="171" t="s">
        <v>369</v>
      </c>
      <c r="D3" s="172" t="s">
        <v>46</v>
      </c>
      <c r="E3" s="173" t="s">
        <v>4</v>
      </c>
      <c r="F3" s="845" t="s">
        <v>50</v>
      </c>
      <c r="G3" s="846"/>
      <c r="H3" s="846"/>
      <c r="I3" s="846"/>
      <c r="J3" s="846"/>
      <c r="K3" s="847"/>
      <c r="L3" s="175">
        <v>45853</v>
      </c>
      <c r="M3" s="176">
        <v>45853</v>
      </c>
      <c r="N3" s="175">
        <v>45884</v>
      </c>
      <c r="O3" s="176">
        <v>45884</v>
      </c>
      <c r="P3" s="177">
        <v>45926</v>
      </c>
      <c r="Q3" s="176">
        <v>45926</v>
      </c>
      <c r="R3" s="178">
        <v>45948</v>
      </c>
      <c r="S3" s="178">
        <v>45962</v>
      </c>
      <c r="T3" s="179" t="s">
        <v>370</v>
      </c>
      <c r="U3" s="179" t="s">
        <v>4</v>
      </c>
      <c r="V3" s="178"/>
      <c r="W3" s="180"/>
      <c r="X3" s="178"/>
      <c r="Y3" s="178"/>
      <c r="Z3" s="179"/>
      <c r="AA3" s="179"/>
    </row>
    <row r="4" spans="1:27" s="117" customFormat="1" ht="30" customHeight="1" x14ac:dyDescent="0.2">
      <c r="A4" s="181">
        <v>2</v>
      </c>
      <c r="B4" s="182" t="s">
        <v>371</v>
      </c>
      <c r="C4" s="183" t="s">
        <v>372</v>
      </c>
      <c r="D4" s="184" t="s">
        <v>53</v>
      </c>
      <c r="E4" s="174" t="s">
        <v>4</v>
      </c>
      <c r="F4" s="845" t="s">
        <v>50</v>
      </c>
      <c r="G4" s="846"/>
      <c r="H4" s="846"/>
      <c r="I4" s="846"/>
      <c r="J4" s="846"/>
      <c r="K4" s="847"/>
      <c r="L4" s="185">
        <v>45853</v>
      </c>
      <c r="M4" s="186">
        <v>45853</v>
      </c>
      <c r="N4" s="185">
        <v>45884</v>
      </c>
      <c r="O4" s="186">
        <v>45884</v>
      </c>
      <c r="P4" s="187">
        <v>45926</v>
      </c>
      <c r="Q4" s="188">
        <v>45926</v>
      </c>
      <c r="R4" s="189">
        <v>45990</v>
      </c>
      <c r="S4" s="190">
        <v>46004</v>
      </c>
      <c r="T4" s="179" t="s">
        <v>373</v>
      </c>
      <c r="U4" s="179" t="s">
        <v>374</v>
      </c>
      <c r="V4" s="190"/>
      <c r="W4" s="191"/>
      <c r="X4" s="189"/>
      <c r="Y4" s="190"/>
      <c r="Z4" s="179"/>
      <c r="AA4" s="179"/>
    </row>
    <row r="5" spans="1:27" s="117" customFormat="1" ht="30" customHeight="1" x14ac:dyDescent="0.2">
      <c r="A5" s="192">
        <v>3</v>
      </c>
      <c r="B5" s="193" t="s">
        <v>65</v>
      </c>
      <c r="C5" s="179" t="s">
        <v>375</v>
      </c>
      <c r="D5" s="194" t="s">
        <v>66</v>
      </c>
      <c r="E5" s="194" t="s">
        <v>4</v>
      </c>
      <c r="F5" s="194" t="s">
        <v>4</v>
      </c>
      <c r="G5" s="195">
        <v>45915</v>
      </c>
      <c r="H5" s="194" t="s">
        <v>4</v>
      </c>
      <c r="I5" s="194" t="s">
        <v>4</v>
      </c>
      <c r="J5" s="194" t="s">
        <v>4</v>
      </c>
      <c r="K5" s="194" t="s">
        <v>4</v>
      </c>
      <c r="L5" s="196">
        <v>45915</v>
      </c>
      <c r="M5" s="188">
        <v>45930</v>
      </c>
      <c r="N5" s="196">
        <v>45930</v>
      </c>
      <c r="O5" s="188">
        <v>45954</v>
      </c>
      <c r="P5" s="196">
        <v>45945</v>
      </c>
      <c r="Q5" s="213">
        <v>45979</v>
      </c>
      <c r="R5" s="198">
        <v>45977</v>
      </c>
      <c r="S5" s="199" t="s">
        <v>376</v>
      </c>
      <c r="T5" s="179" t="s">
        <v>377</v>
      </c>
      <c r="U5" s="179" t="s">
        <v>378</v>
      </c>
      <c r="V5" s="200"/>
      <c r="W5" s="201"/>
      <c r="X5" s="198"/>
      <c r="Y5" s="202"/>
      <c r="Z5" s="179"/>
      <c r="AA5" s="179"/>
    </row>
    <row r="6" spans="1:27" s="117" customFormat="1" ht="30" customHeight="1" x14ac:dyDescent="0.2">
      <c r="A6" s="169">
        <v>4</v>
      </c>
      <c r="B6" s="193" t="s">
        <v>379</v>
      </c>
      <c r="C6" s="179" t="s">
        <v>380</v>
      </c>
      <c r="D6" s="194" t="s">
        <v>77</v>
      </c>
      <c r="E6" s="194" t="s">
        <v>381</v>
      </c>
      <c r="F6" s="194" t="s">
        <v>4</v>
      </c>
      <c r="G6" s="194" t="s">
        <v>382</v>
      </c>
      <c r="H6" s="194" t="s">
        <v>4</v>
      </c>
      <c r="I6" s="194" t="s">
        <v>4</v>
      </c>
      <c r="J6" s="194" t="s">
        <v>4</v>
      </c>
      <c r="K6" s="194" t="s">
        <v>4</v>
      </c>
      <c r="L6" s="203">
        <v>45915</v>
      </c>
      <c r="M6" s="197">
        <v>45951</v>
      </c>
      <c r="N6" s="203">
        <v>45961</v>
      </c>
      <c r="O6" s="213">
        <v>45982</v>
      </c>
      <c r="P6" s="203">
        <v>45991</v>
      </c>
      <c r="Q6" s="213">
        <v>46017</v>
      </c>
      <c r="R6" s="193" t="s">
        <v>4</v>
      </c>
      <c r="S6" s="182" t="s">
        <v>383</v>
      </c>
      <c r="T6" s="179" t="s">
        <v>384</v>
      </c>
      <c r="U6" s="179" t="s">
        <v>385</v>
      </c>
      <c r="V6" s="198"/>
      <c r="W6" s="201"/>
      <c r="X6" s="193"/>
      <c r="Y6" s="182"/>
      <c r="Z6" s="179"/>
      <c r="AA6" s="179"/>
    </row>
    <row r="7" spans="1:27" s="117" customFormat="1" ht="30" customHeight="1" x14ac:dyDescent="0.2">
      <c r="A7" s="181">
        <v>5</v>
      </c>
      <c r="B7" s="193" t="s">
        <v>386</v>
      </c>
      <c r="C7" s="179" t="s">
        <v>387</v>
      </c>
      <c r="D7" s="194" t="s">
        <v>77</v>
      </c>
      <c r="E7" s="194" t="s">
        <v>388</v>
      </c>
      <c r="F7" s="205" t="s">
        <v>389</v>
      </c>
      <c r="G7" s="194" t="s">
        <v>390</v>
      </c>
      <c r="H7" s="194" t="s">
        <v>4</v>
      </c>
      <c r="I7" s="194" t="s">
        <v>4</v>
      </c>
      <c r="J7" s="194" t="s">
        <v>4</v>
      </c>
      <c r="K7" s="194" t="s">
        <v>4</v>
      </c>
      <c r="L7" s="203">
        <v>45915</v>
      </c>
      <c r="M7" s="197">
        <v>45951</v>
      </c>
      <c r="N7" s="203">
        <v>45961</v>
      </c>
      <c r="O7" s="204" t="s">
        <v>4</v>
      </c>
      <c r="P7" s="203">
        <v>45991</v>
      </c>
      <c r="Q7" s="204" t="s">
        <v>4</v>
      </c>
      <c r="R7" s="198">
        <v>45963</v>
      </c>
      <c r="S7" s="198">
        <v>46025</v>
      </c>
      <c r="T7" s="179" t="s">
        <v>391</v>
      </c>
      <c r="U7" s="206" t="s">
        <v>392</v>
      </c>
      <c r="V7" s="198"/>
      <c r="W7" s="201"/>
      <c r="X7" s="198"/>
      <c r="Y7" s="198"/>
      <c r="Z7" s="179"/>
      <c r="AA7" s="206"/>
    </row>
    <row r="8" spans="1:27" s="117" customFormat="1" ht="30" customHeight="1" x14ac:dyDescent="0.2">
      <c r="A8" s="192">
        <v>6</v>
      </c>
      <c r="B8" s="193" t="s">
        <v>311</v>
      </c>
      <c r="C8" s="207" t="s">
        <v>393</v>
      </c>
      <c r="D8" s="194" t="s">
        <v>394</v>
      </c>
      <c r="E8" s="194" t="s">
        <v>395</v>
      </c>
      <c r="F8" s="194" t="s">
        <v>4</v>
      </c>
      <c r="G8" s="194" t="s">
        <v>152</v>
      </c>
      <c r="H8" s="194" t="s">
        <v>4</v>
      </c>
      <c r="I8" s="194" t="s">
        <v>4</v>
      </c>
      <c r="J8" s="194" t="s">
        <v>4</v>
      </c>
      <c r="K8" s="194" t="s">
        <v>4</v>
      </c>
      <c r="L8" s="208">
        <v>45955</v>
      </c>
      <c r="M8" s="204" t="s">
        <v>4</v>
      </c>
      <c r="N8" s="208">
        <v>45955</v>
      </c>
      <c r="O8" s="204" t="s">
        <v>4</v>
      </c>
      <c r="P8" s="208">
        <v>45772</v>
      </c>
      <c r="Q8" s="204" t="s">
        <v>4</v>
      </c>
      <c r="R8" s="193" t="s">
        <v>142</v>
      </c>
      <c r="S8" s="209">
        <v>45772</v>
      </c>
      <c r="T8" s="207" t="s">
        <v>396</v>
      </c>
      <c r="U8" s="179" t="s">
        <v>4</v>
      </c>
      <c r="V8" s="193"/>
      <c r="W8" s="201"/>
      <c r="X8" s="198"/>
      <c r="Y8" s="193"/>
      <c r="Z8" s="179"/>
      <c r="AA8" s="179"/>
    </row>
    <row r="9" spans="1:27" s="117" customFormat="1" ht="30" customHeight="1" x14ac:dyDescent="0.2">
      <c r="A9" s="169">
        <v>7</v>
      </c>
      <c r="B9" s="193" t="s">
        <v>397</v>
      </c>
      <c r="C9" s="179" t="s">
        <v>398</v>
      </c>
      <c r="D9" s="194" t="s">
        <v>314</v>
      </c>
      <c r="E9" s="194" t="s">
        <v>214</v>
      </c>
      <c r="F9" s="210" t="s">
        <v>4</v>
      </c>
      <c r="G9" s="210" t="s">
        <v>399</v>
      </c>
      <c r="H9" s="210" t="s">
        <v>4</v>
      </c>
      <c r="I9" s="210" t="s">
        <v>4</v>
      </c>
      <c r="J9" s="210" t="s">
        <v>4</v>
      </c>
      <c r="K9" s="210" t="s">
        <v>4</v>
      </c>
      <c r="L9" s="208">
        <v>45925</v>
      </c>
      <c r="M9" s="204" t="s">
        <v>4</v>
      </c>
      <c r="N9" s="208">
        <v>45986</v>
      </c>
      <c r="O9" s="204" t="s">
        <v>4</v>
      </c>
      <c r="P9" s="211" t="s">
        <v>4</v>
      </c>
      <c r="Q9" s="204" t="s">
        <v>4</v>
      </c>
      <c r="R9" s="198">
        <v>46023</v>
      </c>
      <c r="S9" s="193" t="s">
        <v>383</v>
      </c>
      <c r="T9" s="207" t="s">
        <v>400</v>
      </c>
      <c r="U9" s="179" t="s">
        <v>4</v>
      </c>
      <c r="V9" s="193"/>
      <c r="W9" s="201"/>
      <c r="X9" s="198"/>
      <c r="Y9" s="193"/>
      <c r="Z9" s="179"/>
      <c r="AA9" s="179"/>
    </row>
    <row r="10" spans="1:27" s="117" customFormat="1" ht="30" customHeight="1" x14ac:dyDescent="0.2">
      <c r="A10" s="181">
        <v>8</v>
      </c>
      <c r="B10" s="193" t="s">
        <v>320</v>
      </c>
      <c r="C10" s="179" t="s">
        <v>401</v>
      </c>
      <c r="D10" s="194" t="s">
        <v>136</v>
      </c>
      <c r="E10" s="194" t="s">
        <v>402</v>
      </c>
      <c r="F10" s="194" t="s">
        <v>4</v>
      </c>
      <c r="G10" s="194" t="s">
        <v>403</v>
      </c>
      <c r="H10" s="194" t="s">
        <v>4</v>
      </c>
      <c r="I10" s="194" t="s">
        <v>4</v>
      </c>
      <c r="J10" s="194" t="s">
        <v>4</v>
      </c>
      <c r="K10" s="194" t="s">
        <v>4</v>
      </c>
      <c r="L10" s="208">
        <v>45955</v>
      </c>
      <c r="M10" s="197">
        <v>45954</v>
      </c>
      <c r="N10" s="208">
        <v>45986</v>
      </c>
      <c r="O10" s="197">
        <v>45989</v>
      </c>
      <c r="P10" s="211" t="s">
        <v>404</v>
      </c>
      <c r="Q10" s="204" t="s">
        <v>4</v>
      </c>
      <c r="R10" s="198">
        <v>45778</v>
      </c>
      <c r="S10" s="193" t="s">
        <v>405</v>
      </c>
      <c r="T10" s="207" t="s">
        <v>406</v>
      </c>
      <c r="U10" s="179" t="s">
        <v>4</v>
      </c>
      <c r="V10" s="209"/>
      <c r="W10" s="201"/>
      <c r="X10" s="193"/>
      <c r="Y10" s="209"/>
      <c r="Z10" s="179"/>
      <c r="AA10" s="179"/>
    </row>
    <row r="11" spans="1:27" s="117" customFormat="1" ht="30" customHeight="1" x14ac:dyDescent="0.2">
      <c r="A11" s="192">
        <v>9</v>
      </c>
      <c r="B11" s="193" t="s">
        <v>108</v>
      </c>
      <c r="C11" s="179" t="s">
        <v>4</v>
      </c>
      <c r="D11" s="194" t="s">
        <v>407</v>
      </c>
      <c r="E11" s="194" t="s">
        <v>4</v>
      </c>
      <c r="F11" s="194" t="s">
        <v>4</v>
      </c>
      <c r="G11" s="194" t="s">
        <v>4</v>
      </c>
      <c r="H11" s="194" t="s">
        <v>4</v>
      </c>
      <c r="I11" s="194" t="s">
        <v>4</v>
      </c>
      <c r="J11" s="194" t="s">
        <v>4</v>
      </c>
      <c r="K11" s="194" t="s">
        <v>4</v>
      </c>
      <c r="L11" s="211" t="s">
        <v>4</v>
      </c>
      <c r="M11" s="204" t="s">
        <v>4</v>
      </c>
      <c r="N11" s="211" t="s">
        <v>4</v>
      </c>
      <c r="O11" s="204" t="s">
        <v>4</v>
      </c>
      <c r="P11" s="211" t="s">
        <v>4</v>
      </c>
      <c r="Q11" s="204" t="s">
        <v>4</v>
      </c>
      <c r="R11" s="193" t="s">
        <v>4</v>
      </c>
      <c r="S11" s="209">
        <v>45683</v>
      </c>
      <c r="T11" s="179" t="s">
        <v>408</v>
      </c>
      <c r="U11" s="179" t="s">
        <v>4</v>
      </c>
      <c r="V11" s="212"/>
      <c r="W11" s="201"/>
      <c r="X11" s="212"/>
      <c r="Y11" s="179"/>
      <c r="Z11" s="179"/>
      <c r="AA11" s="179"/>
    </row>
    <row r="12" spans="1:27" s="117" customFormat="1" ht="30" customHeight="1" x14ac:dyDescent="0.25">
      <c r="A12" s="161">
        <v>10</v>
      </c>
      <c r="B12" s="148" t="s">
        <v>194</v>
      </c>
      <c r="C12" s="148" t="s">
        <v>409</v>
      </c>
      <c r="D12" s="164" t="s">
        <v>314</v>
      </c>
      <c r="E12" s="164" t="s">
        <v>4</v>
      </c>
      <c r="F12" s="164" t="s">
        <v>4</v>
      </c>
      <c r="G12" s="164" t="s">
        <v>410</v>
      </c>
      <c r="H12" s="164" t="s">
        <v>4</v>
      </c>
      <c r="I12" s="164" t="s">
        <v>4</v>
      </c>
      <c r="J12" s="164" t="s">
        <v>4</v>
      </c>
      <c r="K12" s="164" t="s">
        <v>4</v>
      </c>
      <c r="L12" s="165">
        <v>45955</v>
      </c>
      <c r="M12" s="163" t="s">
        <v>4</v>
      </c>
      <c r="N12" s="164" t="s">
        <v>336</v>
      </c>
      <c r="O12" s="163" t="s">
        <v>4</v>
      </c>
      <c r="P12" s="165">
        <v>45956</v>
      </c>
      <c r="Q12" s="163" t="s">
        <v>4</v>
      </c>
      <c r="R12" s="148" t="s">
        <v>183</v>
      </c>
      <c r="S12" s="148" t="s">
        <v>183</v>
      </c>
      <c r="T12" s="153" t="s">
        <v>411</v>
      </c>
      <c r="U12" s="148" t="s">
        <v>4</v>
      </c>
      <c r="V12" s="151"/>
      <c r="W12" s="150"/>
      <c r="X12" s="151"/>
      <c r="Y12" s="152"/>
      <c r="Z12" s="148"/>
      <c r="AA12" s="148"/>
    </row>
    <row r="13" spans="1:27" s="117" customFormat="1" ht="30" customHeight="1" x14ac:dyDescent="0.25">
      <c r="A13" s="162">
        <v>11</v>
      </c>
      <c r="B13" s="148" t="s">
        <v>180</v>
      </c>
      <c r="C13" s="148" t="s">
        <v>412</v>
      </c>
      <c r="D13" s="164" t="s">
        <v>181</v>
      </c>
      <c r="E13" s="164" t="s">
        <v>4</v>
      </c>
      <c r="F13" s="164" t="s">
        <v>4</v>
      </c>
      <c r="G13" s="164" t="s">
        <v>4</v>
      </c>
      <c r="H13" s="164" t="s">
        <v>4</v>
      </c>
      <c r="I13" s="164" t="s">
        <v>4</v>
      </c>
      <c r="J13" s="164" t="s">
        <v>4</v>
      </c>
      <c r="K13" s="164" t="s">
        <v>4</v>
      </c>
      <c r="L13" s="165">
        <v>45955</v>
      </c>
      <c r="M13" s="163" t="s">
        <v>4</v>
      </c>
      <c r="N13" s="164" t="s">
        <v>4</v>
      </c>
      <c r="O13" s="163" t="s">
        <v>4</v>
      </c>
      <c r="P13" s="164" t="s">
        <v>4</v>
      </c>
      <c r="Q13" s="163" t="s">
        <v>4</v>
      </c>
      <c r="R13" s="148" t="s">
        <v>183</v>
      </c>
      <c r="S13" s="148" t="s">
        <v>183</v>
      </c>
      <c r="T13" s="148" t="s">
        <v>413</v>
      </c>
      <c r="U13" s="148" t="s">
        <v>4</v>
      </c>
      <c r="V13" s="154"/>
      <c r="W13" s="150"/>
      <c r="X13" s="148"/>
      <c r="Y13" s="148"/>
      <c r="Z13" s="148"/>
      <c r="AA13" s="148"/>
    </row>
    <row r="14" spans="1:27" s="117" customFormat="1" ht="30" customHeight="1" x14ac:dyDescent="0.25">
      <c r="A14" s="149">
        <v>12</v>
      </c>
      <c r="B14" s="148" t="s">
        <v>331</v>
      </c>
      <c r="C14" s="148" t="s">
        <v>4</v>
      </c>
      <c r="D14" s="164" t="s">
        <v>186</v>
      </c>
      <c r="E14" s="164" t="s">
        <v>4</v>
      </c>
      <c r="F14" s="164" t="s">
        <v>4</v>
      </c>
      <c r="G14" s="164" t="s">
        <v>4</v>
      </c>
      <c r="H14" s="164" t="s">
        <v>4</v>
      </c>
      <c r="I14" s="164" t="s">
        <v>4</v>
      </c>
      <c r="J14" s="164" t="s">
        <v>4</v>
      </c>
      <c r="K14" s="164" t="s">
        <v>4</v>
      </c>
      <c r="L14" s="165">
        <v>45986</v>
      </c>
      <c r="M14" s="163" t="s">
        <v>4</v>
      </c>
      <c r="N14" s="165">
        <v>46016</v>
      </c>
      <c r="O14" s="163" t="s">
        <v>4</v>
      </c>
      <c r="P14" s="165">
        <v>45683</v>
      </c>
      <c r="Q14" s="163" t="s">
        <v>4</v>
      </c>
      <c r="R14" s="148" t="s">
        <v>4</v>
      </c>
      <c r="S14" s="154">
        <v>45742</v>
      </c>
      <c r="T14" s="148" t="s">
        <v>4</v>
      </c>
      <c r="U14" s="148" t="s">
        <v>4</v>
      </c>
      <c r="V14" s="148"/>
      <c r="W14" s="150"/>
      <c r="X14" s="148"/>
      <c r="Y14" s="148"/>
      <c r="Z14" s="148"/>
      <c r="AA14" s="148"/>
    </row>
    <row r="15" spans="1:27" s="117" customFormat="1" ht="30" customHeight="1" x14ac:dyDescent="0.25">
      <c r="A15" s="161">
        <v>13</v>
      </c>
      <c r="B15" s="148" t="s">
        <v>327</v>
      </c>
      <c r="C15" s="148" t="s">
        <v>4</v>
      </c>
      <c r="D15" s="164" t="s">
        <v>204</v>
      </c>
      <c r="E15" s="164" t="s">
        <v>4</v>
      </c>
      <c r="F15" s="164" t="s">
        <v>4</v>
      </c>
      <c r="G15" s="164" t="s">
        <v>410</v>
      </c>
      <c r="H15" s="164" t="s">
        <v>4</v>
      </c>
      <c r="I15" s="164" t="s">
        <v>4</v>
      </c>
      <c r="J15" s="164" t="s">
        <v>4</v>
      </c>
      <c r="K15" s="164" t="s">
        <v>4</v>
      </c>
      <c r="L15" s="165">
        <v>45683</v>
      </c>
      <c r="M15" s="163" t="s">
        <v>4</v>
      </c>
      <c r="N15" s="164" t="s">
        <v>4</v>
      </c>
      <c r="O15" s="163" t="s">
        <v>4</v>
      </c>
      <c r="P15" s="164" t="s">
        <v>4</v>
      </c>
      <c r="Q15" s="163" t="s">
        <v>4</v>
      </c>
      <c r="R15" s="148" t="s">
        <v>4</v>
      </c>
      <c r="S15" s="154">
        <v>45834</v>
      </c>
      <c r="T15" s="148" t="s">
        <v>4</v>
      </c>
      <c r="U15" s="148" t="s">
        <v>4</v>
      </c>
      <c r="V15" s="154"/>
      <c r="W15" s="150"/>
      <c r="X15" s="148"/>
      <c r="Y15" s="154"/>
      <c r="Z15" s="148"/>
      <c r="AA15" s="148"/>
    </row>
    <row r="16" spans="1:27" s="117" customFormat="1" ht="30" customHeight="1" x14ac:dyDescent="0.25">
      <c r="A16" s="149">
        <v>14</v>
      </c>
      <c r="B16" s="148" t="s">
        <v>332</v>
      </c>
      <c r="C16" s="148" t="s">
        <v>4</v>
      </c>
      <c r="D16" s="164" t="s">
        <v>251</v>
      </c>
      <c r="E16" s="164" t="s">
        <v>4</v>
      </c>
      <c r="F16" s="164" t="s">
        <v>4</v>
      </c>
      <c r="G16" s="164" t="s">
        <v>4</v>
      </c>
      <c r="H16" s="164" t="s">
        <v>4</v>
      </c>
      <c r="I16" s="164" t="s">
        <v>4</v>
      </c>
      <c r="J16" s="164" t="s">
        <v>4</v>
      </c>
      <c r="K16" s="164" t="s">
        <v>4</v>
      </c>
      <c r="L16" s="165">
        <v>45683</v>
      </c>
      <c r="M16" s="163" t="s">
        <v>4</v>
      </c>
      <c r="N16" s="164" t="s">
        <v>4</v>
      </c>
      <c r="O16" s="163" t="s">
        <v>4</v>
      </c>
      <c r="P16" s="164" t="s">
        <v>4</v>
      </c>
      <c r="Q16" s="163" t="s">
        <v>4</v>
      </c>
      <c r="R16" s="148" t="s">
        <v>4</v>
      </c>
      <c r="S16" s="154">
        <v>45834</v>
      </c>
      <c r="T16" s="148" t="s">
        <v>414</v>
      </c>
      <c r="U16" s="148" t="s">
        <v>4</v>
      </c>
      <c r="V16" s="148"/>
      <c r="W16" s="150"/>
      <c r="X16" s="148"/>
      <c r="Y16" s="154"/>
      <c r="Z16" s="148"/>
      <c r="AA16" s="148"/>
    </row>
    <row r="17" spans="1:27" s="117" customFormat="1" ht="30" customHeight="1" x14ac:dyDescent="0.25">
      <c r="A17" s="149" t="s">
        <v>4</v>
      </c>
      <c r="B17" s="148" t="s">
        <v>4</v>
      </c>
      <c r="C17" s="148" t="s">
        <v>4</v>
      </c>
      <c r="D17" s="164" t="s">
        <v>4</v>
      </c>
      <c r="E17" s="164" t="s">
        <v>4</v>
      </c>
      <c r="F17" s="156" t="s">
        <v>4</v>
      </c>
      <c r="G17" s="156" t="s">
        <v>4</v>
      </c>
      <c r="H17" s="156" t="s">
        <v>4</v>
      </c>
      <c r="I17" s="156" t="s">
        <v>4</v>
      </c>
      <c r="J17" s="156" t="s">
        <v>4</v>
      </c>
      <c r="K17" s="156" t="s">
        <v>4</v>
      </c>
      <c r="L17" s="164" t="s">
        <v>4</v>
      </c>
      <c r="M17" s="163" t="s">
        <v>4</v>
      </c>
      <c r="N17" s="164" t="s">
        <v>4</v>
      </c>
      <c r="O17" s="163" t="s">
        <v>4</v>
      </c>
      <c r="P17" s="164" t="s">
        <v>4</v>
      </c>
      <c r="Q17" s="163" t="s">
        <v>4</v>
      </c>
      <c r="R17" s="148" t="s">
        <v>4</v>
      </c>
      <c r="S17" s="148" t="s">
        <v>4</v>
      </c>
      <c r="T17" s="148" t="s">
        <v>4</v>
      </c>
      <c r="U17" s="148" t="s">
        <v>4</v>
      </c>
      <c r="V17" s="148"/>
      <c r="W17" s="150"/>
      <c r="X17" s="148"/>
      <c r="Y17" s="154"/>
      <c r="Z17" s="148"/>
      <c r="AA17" s="148"/>
    </row>
    <row r="18" spans="1:27" s="117" customFormat="1" ht="30" customHeight="1" x14ac:dyDescent="0.25">
      <c r="A18" s="149" t="s">
        <v>4</v>
      </c>
      <c r="B18" s="148" t="s">
        <v>4</v>
      </c>
      <c r="C18" s="148" t="s">
        <v>4</v>
      </c>
      <c r="D18" s="164" t="s">
        <v>4</v>
      </c>
      <c r="E18" s="164" t="s">
        <v>4</v>
      </c>
      <c r="F18" s="156" t="s">
        <v>4</v>
      </c>
      <c r="G18" s="156" t="s">
        <v>4</v>
      </c>
      <c r="H18" s="156" t="s">
        <v>4</v>
      </c>
      <c r="I18" s="156" t="s">
        <v>4</v>
      </c>
      <c r="J18" s="156" t="s">
        <v>4</v>
      </c>
      <c r="K18" s="156" t="s">
        <v>4</v>
      </c>
      <c r="L18" s="164" t="s">
        <v>4</v>
      </c>
      <c r="M18" s="163" t="s">
        <v>4</v>
      </c>
      <c r="N18" s="164" t="s">
        <v>4</v>
      </c>
      <c r="O18" s="163" t="s">
        <v>4</v>
      </c>
      <c r="P18" s="164" t="s">
        <v>4</v>
      </c>
      <c r="Q18" s="163" t="s">
        <v>4</v>
      </c>
      <c r="R18" s="148" t="s">
        <v>4</v>
      </c>
      <c r="S18" s="148" t="s">
        <v>4</v>
      </c>
      <c r="T18" s="148" t="s">
        <v>4</v>
      </c>
      <c r="U18" s="148" t="s">
        <v>4</v>
      </c>
      <c r="V18" s="148"/>
      <c r="W18" s="150"/>
      <c r="X18" s="148"/>
      <c r="Y18" s="148"/>
      <c r="Z18" s="148"/>
      <c r="AA18" s="148"/>
    </row>
    <row r="19" spans="1:27" s="117" customFormat="1" ht="14.5" customHeight="1" x14ac:dyDescent="0.25">
      <c r="A19" s="149" t="s">
        <v>4</v>
      </c>
      <c r="B19" s="148" t="s">
        <v>4</v>
      </c>
      <c r="C19" s="148" t="s">
        <v>4</v>
      </c>
      <c r="D19" s="164" t="s">
        <v>4</v>
      </c>
      <c r="E19" s="164" t="s">
        <v>4</v>
      </c>
      <c r="F19" s="156" t="s">
        <v>4</v>
      </c>
      <c r="G19" s="156" t="s">
        <v>4</v>
      </c>
      <c r="H19" s="156" t="s">
        <v>4</v>
      </c>
      <c r="I19" s="156" t="s">
        <v>4</v>
      </c>
      <c r="J19" s="156" t="s">
        <v>4</v>
      </c>
      <c r="K19" s="156" t="s">
        <v>4</v>
      </c>
      <c r="L19" s="164" t="s">
        <v>4</v>
      </c>
      <c r="M19" s="163" t="s">
        <v>4</v>
      </c>
      <c r="N19" s="164" t="s">
        <v>4</v>
      </c>
      <c r="O19" s="163" t="s">
        <v>4</v>
      </c>
      <c r="P19" s="164" t="s">
        <v>4</v>
      </c>
      <c r="Q19" s="163" t="s">
        <v>4</v>
      </c>
      <c r="R19" s="148" t="s">
        <v>4</v>
      </c>
      <c r="S19" s="148" t="s">
        <v>4</v>
      </c>
      <c r="T19" s="148" t="s">
        <v>4</v>
      </c>
      <c r="U19" s="148" t="s">
        <v>4</v>
      </c>
      <c r="V19" s="148"/>
      <c r="W19" s="150"/>
      <c r="X19" s="148"/>
      <c r="Y19" s="148"/>
      <c r="Z19" s="148"/>
      <c r="AA19" s="148"/>
    </row>
    <row r="20" spans="1:27" s="117" customFormat="1" ht="14.5" customHeight="1" x14ac:dyDescent="0.25">
      <c r="A20" s="149" t="s">
        <v>4</v>
      </c>
      <c r="B20" s="148" t="s">
        <v>4</v>
      </c>
      <c r="C20" s="148" t="s">
        <v>4</v>
      </c>
      <c r="D20" s="164" t="s">
        <v>4</v>
      </c>
      <c r="E20" s="164" t="s">
        <v>4</v>
      </c>
      <c r="F20" s="156" t="s">
        <v>4</v>
      </c>
      <c r="G20" s="156" t="s">
        <v>4</v>
      </c>
      <c r="H20" s="156" t="s">
        <v>4</v>
      </c>
      <c r="I20" s="156" t="s">
        <v>4</v>
      </c>
      <c r="J20" s="156" t="s">
        <v>4</v>
      </c>
      <c r="K20" s="156" t="s">
        <v>4</v>
      </c>
      <c r="L20" s="164" t="s">
        <v>4</v>
      </c>
      <c r="M20" s="163" t="s">
        <v>4</v>
      </c>
      <c r="N20" s="164" t="s">
        <v>4</v>
      </c>
      <c r="O20" s="163" t="s">
        <v>4</v>
      </c>
      <c r="P20" s="164" t="s">
        <v>4</v>
      </c>
      <c r="Q20" s="163" t="s">
        <v>4</v>
      </c>
      <c r="R20" s="148" t="s">
        <v>4</v>
      </c>
      <c r="S20" s="148" t="s">
        <v>4</v>
      </c>
      <c r="T20" s="148" t="s">
        <v>4</v>
      </c>
      <c r="U20" s="148" t="s">
        <v>4</v>
      </c>
      <c r="V20" s="148"/>
      <c r="W20" s="150"/>
      <c r="X20" s="148"/>
      <c r="Y20" s="148"/>
      <c r="Z20" s="148"/>
      <c r="AA20" s="148"/>
    </row>
    <row r="21" spans="1:27" ht="16" x14ac:dyDescent="0.25">
      <c r="A21" s="149" t="s">
        <v>4</v>
      </c>
      <c r="B21" s="148" t="s">
        <v>4</v>
      </c>
      <c r="C21" s="148" t="s">
        <v>4</v>
      </c>
      <c r="D21" s="164" t="s">
        <v>4</v>
      </c>
      <c r="E21" s="164" t="s">
        <v>4</v>
      </c>
      <c r="F21" s="156" t="s">
        <v>4</v>
      </c>
      <c r="G21" s="156" t="s">
        <v>4</v>
      </c>
      <c r="H21" s="156" t="s">
        <v>4</v>
      </c>
      <c r="I21" s="156" t="s">
        <v>4</v>
      </c>
      <c r="J21" s="156" t="s">
        <v>4</v>
      </c>
      <c r="K21" s="156" t="s">
        <v>4</v>
      </c>
      <c r="L21" s="164" t="s">
        <v>4</v>
      </c>
      <c r="M21" s="163" t="s">
        <v>4</v>
      </c>
      <c r="N21" s="164" t="s">
        <v>4</v>
      </c>
      <c r="O21" s="163" t="s">
        <v>4</v>
      </c>
      <c r="P21" s="164" t="s">
        <v>4</v>
      </c>
      <c r="Q21" s="163" t="s">
        <v>4</v>
      </c>
      <c r="R21" s="148" t="s">
        <v>4</v>
      </c>
      <c r="S21" s="148" t="s">
        <v>4</v>
      </c>
      <c r="T21" s="148" t="s">
        <v>4</v>
      </c>
      <c r="U21" s="148" t="s">
        <v>4</v>
      </c>
      <c r="V21" s="148"/>
      <c r="W21" s="150"/>
      <c r="X21" s="148"/>
      <c r="Y21" s="148"/>
      <c r="Z21" s="148"/>
      <c r="AA21" s="148"/>
    </row>
    <row r="22" spans="1:27" ht="16" x14ac:dyDescent="0.25">
      <c r="A22" s="149" t="s">
        <v>4</v>
      </c>
      <c r="B22" s="148" t="s">
        <v>4</v>
      </c>
      <c r="C22" s="148" t="s">
        <v>4</v>
      </c>
      <c r="D22" s="164" t="s">
        <v>4</v>
      </c>
      <c r="E22" s="164" t="s">
        <v>4</v>
      </c>
      <c r="F22" s="156" t="s">
        <v>4</v>
      </c>
      <c r="G22" s="156" t="s">
        <v>4</v>
      </c>
      <c r="H22" s="156" t="s">
        <v>4</v>
      </c>
      <c r="I22" s="156" t="s">
        <v>4</v>
      </c>
      <c r="J22" s="156" t="s">
        <v>4</v>
      </c>
      <c r="K22" s="156" t="s">
        <v>4</v>
      </c>
      <c r="L22" s="164" t="s">
        <v>4</v>
      </c>
      <c r="M22" s="163" t="s">
        <v>4</v>
      </c>
      <c r="N22" s="164" t="s">
        <v>4</v>
      </c>
      <c r="O22" s="163" t="s">
        <v>4</v>
      </c>
      <c r="P22" s="164" t="s">
        <v>4</v>
      </c>
      <c r="Q22" s="163" t="s">
        <v>4</v>
      </c>
      <c r="R22" s="148" t="s">
        <v>4</v>
      </c>
      <c r="S22" s="148" t="s">
        <v>4</v>
      </c>
      <c r="T22" s="148" t="s">
        <v>4</v>
      </c>
      <c r="U22" s="148" t="s">
        <v>4</v>
      </c>
      <c r="V22" s="148"/>
      <c r="W22" s="150"/>
      <c r="X22" s="148"/>
      <c r="Y22" s="148"/>
      <c r="Z22" s="148"/>
      <c r="AA22" s="148"/>
    </row>
    <row r="23" spans="1:27" ht="16" x14ac:dyDescent="0.25">
      <c r="A23" s="149" t="s">
        <v>4</v>
      </c>
      <c r="B23" s="148" t="s">
        <v>4</v>
      </c>
      <c r="C23" s="148" t="s">
        <v>4</v>
      </c>
      <c r="D23" s="164" t="s">
        <v>4</v>
      </c>
      <c r="E23" s="164" t="s">
        <v>4</v>
      </c>
      <c r="F23" s="156" t="s">
        <v>4</v>
      </c>
      <c r="G23" s="156" t="s">
        <v>4</v>
      </c>
      <c r="H23" s="156" t="s">
        <v>4</v>
      </c>
      <c r="I23" s="156" t="s">
        <v>4</v>
      </c>
      <c r="J23" s="156" t="s">
        <v>4</v>
      </c>
      <c r="K23" s="156" t="s">
        <v>4</v>
      </c>
      <c r="L23" s="164" t="s">
        <v>4</v>
      </c>
      <c r="M23" s="163" t="s">
        <v>4</v>
      </c>
      <c r="N23" s="164" t="s">
        <v>4</v>
      </c>
      <c r="O23" s="163" t="s">
        <v>4</v>
      </c>
      <c r="P23" s="164" t="s">
        <v>4</v>
      </c>
      <c r="Q23" s="163" t="s">
        <v>4</v>
      </c>
      <c r="R23" s="148" t="s">
        <v>4</v>
      </c>
      <c r="S23" s="148" t="s">
        <v>4</v>
      </c>
      <c r="T23" s="148" t="s">
        <v>4</v>
      </c>
      <c r="U23" s="148" t="s">
        <v>4</v>
      </c>
      <c r="V23" s="148"/>
      <c r="W23" s="150"/>
      <c r="X23" s="148"/>
      <c r="Y23" s="148"/>
      <c r="Z23" s="148"/>
      <c r="AA23" s="148"/>
    </row>
    <row r="24" spans="1:27" ht="16" x14ac:dyDescent="0.25">
      <c r="A24" s="149" t="s">
        <v>4</v>
      </c>
      <c r="B24" s="148" t="s">
        <v>4</v>
      </c>
      <c r="C24" s="148" t="s">
        <v>4</v>
      </c>
      <c r="D24" s="164" t="s">
        <v>4</v>
      </c>
      <c r="E24" s="164" t="s">
        <v>4</v>
      </c>
      <c r="F24" s="156" t="s">
        <v>4</v>
      </c>
      <c r="G24" s="156" t="s">
        <v>4</v>
      </c>
      <c r="H24" s="156" t="s">
        <v>4</v>
      </c>
      <c r="I24" s="156" t="s">
        <v>4</v>
      </c>
      <c r="J24" s="156" t="s">
        <v>4</v>
      </c>
      <c r="K24" s="156" t="s">
        <v>4</v>
      </c>
      <c r="L24" s="164" t="s">
        <v>4</v>
      </c>
      <c r="M24" s="163" t="s">
        <v>4</v>
      </c>
      <c r="N24" s="164" t="s">
        <v>4</v>
      </c>
      <c r="O24" s="163" t="s">
        <v>4</v>
      </c>
      <c r="P24" s="164" t="s">
        <v>4</v>
      </c>
      <c r="Q24" s="163" t="s">
        <v>4</v>
      </c>
      <c r="R24" s="148" t="s">
        <v>4</v>
      </c>
      <c r="S24" s="148" t="s">
        <v>4</v>
      </c>
      <c r="T24" s="148" t="s">
        <v>4</v>
      </c>
      <c r="U24" s="148" t="s">
        <v>4</v>
      </c>
      <c r="V24" s="148"/>
      <c r="W24" s="150"/>
      <c r="X24" s="148"/>
      <c r="Y24" s="148"/>
      <c r="Z24" s="148"/>
      <c r="AA24" s="148"/>
    </row>
    <row r="25" spans="1:27" ht="16" x14ac:dyDescent="0.25">
      <c r="A25" s="149" t="s">
        <v>4</v>
      </c>
      <c r="B25" s="148" t="s">
        <v>4</v>
      </c>
      <c r="C25" s="148" t="s">
        <v>4</v>
      </c>
      <c r="D25" s="164" t="s">
        <v>4</v>
      </c>
      <c r="E25" s="164" t="s">
        <v>4</v>
      </c>
      <c r="F25" s="156" t="s">
        <v>4</v>
      </c>
      <c r="G25" s="156" t="s">
        <v>4</v>
      </c>
      <c r="H25" s="156" t="s">
        <v>4</v>
      </c>
      <c r="I25" s="156" t="s">
        <v>4</v>
      </c>
      <c r="J25" s="156" t="s">
        <v>4</v>
      </c>
      <c r="K25" s="156" t="s">
        <v>4</v>
      </c>
      <c r="L25" s="164" t="s">
        <v>4</v>
      </c>
      <c r="M25" s="163" t="s">
        <v>4</v>
      </c>
      <c r="N25" s="164" t="s">
        <v>4</v>
      </c>
      <c r="O25" s="163" t="s">
        <v>4</v>
      </c>
      <c r="P25" s="164" t="s">
        <v>4</v>
      </c>
      <c r="Q25" s="163" t="s">
        <v>4</v>
      </c>
      <c r="R25" s="148" t="s">
        <v>4</v>
      </c>
      <c r="S25" s="148" t="s">
        <v>4</v>
      </c>
      <c r="T25" s="148" t="s">
        <v>4</v>
      </c>
      <c r="U25" s="148" t="s">
        <v>4</v>
      </c>
      <c r="V25" s="148"/>
      <c r="W25" s="150"/>
      <c r="X25" s="148"/>
      <c r="Y25" s="148"/>
      <c r="Z25" s="148"/>
      <c r="AA25" s="148"/>
    </row>
    <row r="26" spans="1:27" ht="16" x14ac:dyDescent="0.25">
      <c r="A26" s="149" t="s">
        <v>4</v>
      </c>
      <c r="B26" s="148" t="s">
        <v>4</v>
      </c>
      <c r="C26" s="148" t="s">
        <v>4</v>
      </c>
      <c r="D26" s="164" t="s">
        <v>4</v>
      </c>
      <c r="E26" s="164" t="s">
        <v>4</v>
      </c>
      <c r="F26" s="156" t="s">
        <v>4</v>
      </c>
      <c r="G26" s="156" t="s">
        <v>4</v>
      </c>
      <c r="H26" s="156" t="s">
        <v>4</v>
      </c>
      <c r="I26" s="156" t="s">
        <v>4</v>
      </c>
      <c r="J26" s="156" t="s">
        <v>4</v>
      </c>
      <c r="K26" s="156" t="s">
        <v>4</v>
      </c>
      <c r="L26" s="164" t="s">
        <v>4</v>
      </c>
      <c r="M26" s="163" t="s">
        <v>4</v>
      </c>
      <c r="N26" s="164" t="s">
        <v>4</v>
      </c>
      <c r="O26" s="163" t="s">
        <v>4</v>
      </c>
      <c r="P26" s="164" t="s">
        <v>4</v>
      </c>
      <c r="Q26" s="163" t="s">
        <v>4</v>
      </c>
      <c r="R26" s="148" t="s">
        <v>4</v>
      </c>
      <c r="S26" s="148" t="s">
        <v>4</v>
      </c>
      <c r="T26" s="148" t="s">
        <v>4</v>
      </c>
      <c r="U26" s="148" t="s">
        <v>4</v>
      </c>
      <c r="V26" s="148"/>
      <c r="W26" s="150"/>
      <c r="X26" s="148"/>
      <c r="Y26" s="148"/>
      <c r="Z26" s="148"/>
      <c r="AA26" s="148"/>
    </row>
    <row r="27" spans="1:27" ht="16" x14ac:dyDescent="0.25">
      <c r="A27" s="149" t="s">
        <v>4</v>
      </c>
      <c r="B27" s="148" t="s">
        <v>4</v>
      </c>
      <c r="C27" s="148" t="s">
        <v>4</v>
      </c>
      <c r="D27" s="164" t="s">
        <v>4</v>
      </c>
      <c r="E27" s="164" t="s">
        <v>4</v>
      </c>
      <c r="F27" s="156" t="s">
        <v>4</v>
      </c>
      <c r="G27" s="156" t="s">
        <v>4</v>
      </c>
      <c r="H27" s="156" t="s">
        <v>4</v>
      </c>
      <c r="I27" s="156" t="s">
        <v>4</v>
      </c>
      <c r="J27" s="156" t="s">
        <v>4</v>
      </c>
      <c r="K27" s="156" t="s">
        <v>4</v>
      </c>
      <c r="L27" s="164" t="s">
        <v>4</v>
      </c>
      <c r="M27" s="163" t="s">
        <v>4</v>
      </c>
      <c r="N27" s="164" t="s">
        <v>4</v>
      </c>
      <c r="O27" s="163" t="s">
        <v>4</v>
      </c>
      <c r="P27" s="164" t="s">
        <v>4</v>
      </c>
      <c r="Q27" s="163" t="s">
        <v>4</v>
      </c>
      <c r="R27" s="148" t="s">
        <v>4</v>
      </c>
      <c r="S27" s="148" t="s">
        <v>4</v>
      </c>
      <c r="T27" s="148" t="s">
        <v>4</v>
      </c>
      <c r="U27" s="148" t="s">
        <v>4</v>
      </c>
      <c r="V27" s="148"/>
      <c r="W27" s="150"/>
      <c r="X27" s="148"/>
      <c r="Y27" s="148"/>
      <c r="Z27" s="148"/>
      <c r="AA27" s="148"/>
    </row>
    <row r="28" spans="1:27" ht="16" x14ac:dyDescent="0.25">
      <c r="A28" s="149" t="s">
        <v>4</v>
      </c>
      <c r="B28" s="148" t="s">
        <v>4</v>
      </c>
      <c r="C28" s="148" t="s">
        <v>4</v>
      </c>
      <c r="D28" s="164" t="s">
        <v>4</v>
      </c>
      <c r="E28" s="164" t="s">
        <v>4</v>
      </c>
      <c r="F28" s="156" t="s">
        <v>4</v>
      </c>
      <c r="G28" s="156" t="s">
        <v>4</v>
      </c>
      <c r="H28" s="156" t="s">
        <v>4</v>
      </c>
      <c r="I28" s="156" t="s">
        <v>4</v>
      </c>
      <c r="J28" s="156" t="s">
        <v>4</v>
      </c>
      <c r="K28" s="156" t="s">
        <v>4</v>
      </c>
      <c r="L28" s="164" t="s">
        <v>4</v>
      </c>
      <c r="M28" s="163" t="s">
        <v>4</v>
      </c>
      <c r="N28" s="164" t="s">
        <v>4</v>
      </c>
      <c r="O28" s="163" t="s">
        <v>4</v>
      </c>
      <c r="P28" s="164" t="s">
        <v>4</v>
      </c>
      <c r="Q28" s="163" t="s">
        <v>4</v>
      </c>
      <c r="R28" s="148" t="s">
        <v>4</v>
      </c>
      <c r="S28" s="148" t="s">
        <v>4</v>
      </c>
      <c r="T28" s="148" t="s">
        <v>4</v>
      </c>
      <c r="U28" s="148" t="s">
        <v>4</v>
      </c>
      <c r="V28" s="148"/>
      <c r="W28" s="150"/>
      <c r="X28" s="148"/>
      <c r="Y28" s="148"/>
      <c r="Z28" s="148"/>
      <c r="AA28" s="148"/>
    </row>
    <row r="29" spans="1:27" ht="16" x14ac:dyDescent="0.25">
      <c r="A29" s="149" t="s">
        <v>4</v>
      </c>
      <c r="B29" s="148" t="s">
        <v>4</v>
      </c>
      <c r="C29" s="148" t="s">
        <v>4</v>
      </c>
      <c r="D29" s="164" t="s">
        <v>4</v>
      </c>
      <c r="E29" s="164" t="s">
        <v>4</v>
      </c>
      <c r="F29" s="156" t="s">
        <v>4</v>
      </c>
      <c r="G29" s="156" t="s">
        <v>4</v>
      </c>
      <c r="H29" s="156" t="s">
        <v>4</v>
      </c>
      <c r="I29" s="156" t="s">
        <v>4</v>
      </c>
      <c r="J29" s="156" t="s">
        <v>4</v>
      </c>
      <c r="K29" s="156" t="s">
        <v>4</v>
      </c>
      <c r="L29" s="164" t="s">
        <v>4</v>
      </c>
      <c r="M29" s="163" t="s">
        <v>4</v>
      </c>
      <c r="N29" s="164" t="s">
        <v>4</v>
      </c>
      <c r="O29" s="163" t="s">
        <v>4</v>
      </c>
      <c r="P29" s="164" t="s">
        <v>4</v>
      </c>
      <c r="Q29" s="163" t="s">
        <v>4</v>
      </c>
      <c r="R29" s="148" t="s">
        <v>4</v>
      </c>
      <c r="S29" s="148" t="s">
        <v>4</v>
      </c>
      <c r="T29" s="148" t="s">
        <v>4</v>
      </c>
      <c r="U29" s="148" t="s">
        <v>4</v>
      </c>
      <c r="V29" s="148"/>
      <c r="W29" s="150"/>
      <c r="X29" s="148"/>
      <c r="Y29" s="148"/>
      <c r="Z29" s="148"/>
      <c r="AA29" s="148"/>
    </row>
    <row r="30" spans="1:27" ht="16" x14ac:dyDescent="0.25">
      <c r="A30" s="149" t="s">
        <v>4</v>
      </c>
      <c r="B30" s="148" t="s">
        <v>4</v>
      </c>
      <c r="C30" s="148" t="s">
        <v>4</v>
      </c>
      <c r="D30" s="164" t="s">
        <v>4</v>
      </c>
      <c r="E30" s="164" t="s">
        <v>4</v>
      </c>
      <c r="F30" s="156" t="s">
        <v>4</v>
      </c>
      <c r="G30" s="156" t="s">
        <v>4</v>
      </c>
      <c r="H30" s="156" t="s">
        <v>4</v>
      </c>
      <c r="I30" s="156" t="s">
        <v>4</v>
      </c>
      <c r="J30" s="156" t="s">
        <v>4</v>
      </c>
      <c r="K30" s="156" t="s">
        <v>4</v>
      </c>
      <c r="L30" s="164" t="s">
        <v>4</v>
      </c>
      <c r="M30" s="163" t="s">
        <v>4</v>
      </c>
      <c r="N30" s="164" t="s">
        <v>4</v>
      </c>
      <c r="O30" s="163" t="s">
        <v>4</v>
      </c>
      <c r="P30" s="164" t="s">
        <v>4</v>
      </c>
      <c r="Q30" s="163" t="s">
        <v>4</v>
      </c>
      <c r="R30" s="148" t="s">
        <v>4</v>
      </c>
      <c r="S30" s="148" t="s">
        <v>4</v>
      </c>
      <c r="T30" s="148" t="s">
        <v>4</v>
      </c>
      <c r="U30" s="148" t="s">
        <v>4</v>
      </c>
      <c r="V30" s="148"/>
      <c r="W30" s="150"/>
      <c r="X30" s="148"/>
      <c r="Y30" s="148"/>
      <c r="Z30" s="148"/>
      <c r="AA30" s="148"/>
    </row>
    <row r="31" spans="1:27" ht="16" x14ac:dyDescent="0.25">
      <c r="A31" s="149" t="s">
        <v>4</v>
      </c>
      <c r="B31" s="148" t="s">
        <v>4</v>
      </c>
      <c r="C31" s="148" t="s">
        <v>4</v>
      </c>
      <c r="D31" s="164" t="s">
        <v>4</v>
      </c>
      <c r="E31" s="164" t="s">
        <v>4</v>
      </c>
      <c r="F31" s="156" t="s">
        <v>4</v>
      </c>
      <c r="G31" s="156" t="s">
        <v>4</v>
      </c>
      <c r="H31" s="156" t="s">
        <v>4</v>
      </c>
      <c r="I31" s="156" t="s">
        <v>4</v>
      </c>
      <c r="J31" s="156" t="s">
        <v>4</v>
      </c>
      <c r="K31" s="156" t="s">
        <v>4</v>
      </c>
      <c r="L31" s="164" t="s">
        <v>4</v>
      </c>
      <c r="M31" s="163" t="s">
        <v>4</v>
      </c>
      <c r="N31" s="164" t="s">
        <v>4</v>
      </c>
      <c r="O31" s="163" t="s">
        <v>4</v>
      </c>
      <c r="P31" s="164" t="s">
        <v>4</v>
      </c>
      <c r="Q31" s="163" t="s">
        <v>4</v>
      </c>
      <c r="R31" s="148" t="s">
        <v>4</v>
      </c>
      <c r="S31" s="148" t="s">
        <v>4</v>
      </c>
      <c r="T31" s="148" t="s">
        <v>4</v>
      </c>
      <c r="U31" s="148" t="s">
        <v>4</v>
      </c>
      <c r="V31" s="148"/>
      <c r="W31" s="150"/>
      <c r="X31" s="148"/>
      <c r="Y31" s="148"/>
      <c r="Z31" s="148"/>
      <c r="AA31" s="148"/>
    </row>
    <row r="32" spans="1:27" ht="16" x14ac:dyDescent="0.25">
      <c r="A32" s="149" t="s">
        <v>4</v>
      </c>
      <c r="B32" s="148" t="s">
        <v>4</v>
      </c>
      <c r="C32" s="148" t="s">
        <v>4</v>
      </c>
      <c r="D32" s="164" t="s">
        <v>4</v>
      </c>
      <c r="E32" s="164" t="s">
        <v>4</v>
      </c>
      <c r="F32" s="156" t="s">
        <v>4</v>
      </c>
      <c r="G32" s="156" t="s">
        <v>4</v>
      </c>
      <c r="H32" s="156" t="s">
        <v>4</v>
      </c>
      <c r="I32" s="156" t="s">
        <v>4</v>
      </c>
      <c r="J32" s="156" t="s">
        <v>4</v>
      </c>
      <c r="K32" s="156" t="s">
        <v>4</v>
      </c>
      <c r="L32" s="164" t="s">
        <v>4</v>
      </c>
      <c r="M32" s="163" t="s">
        <v>4</v>
      </c>
      <c r="N32" s="164" t="s">
        <v>4</v>
      </c>
      <c r="O32" s="163" t="s">
        <v>4</v>
      </c>
      <c r="P32" s="164" t="s">
        <v>4</v>
      </c>
      <c r="Q32" s="163" t="s">
        <v>4</v>
      </c>
      <c r="R32" s="148" t="s">
        <v>4</v>
      </c>
      <c r="S32" s="148" t="s">
        <v>4</v>
      </c>
      <c r="T32" s="148" t="s">
        <v>4</v>
      </c>
      <c r="U32" s="148" t="s">
        <v>4</v>
      </c>
      <c r="V32" s="148"/>
      <c r="W32" s="150"/>
      <c r="X32" s="148"/>
      <c r="Y32" s="148"/>
      <c r="Z32" s="148"/>
      <c r="AA32" s="148"/>
    </row>
    <row r="33" spans="1:27" ht="16" x14ac:dyDescent="0.25">
      <c r="A33" s="149" t="s">
        <v>4</v>
      </c>
      <c r="B33" s="148" t="s">
        <v>4</v>
      </c>
      <c r="C33" s="148" t="s">
        <v>4</v>
      </c>
      <c r="D33" s="164" t="s">
        <v>4</v>
      </c>
      <c r="E33" s="164" t="s">
        <v>4</v>
      </c>
      <c r="F33" s="156" t="s">
        <v>4</v>
      </c>
      <c r="G33" s="156" t="s">
        <v>4</v>
      </c>
      <c r="H33" s="156" t="s">
        <v>4</v>
      </c>
      <c r="I33" s="156" t="s">
        <v>4</v>
      </c>
      <c r="J33" s="156" t="s">
        <v>4</v>
      </c>
      <c r="K33" s="156" t="s">
        <v>4</v>
      </c>
      <c r="L33" s="164" t="s">
        <v>4</v>
      </c>
      <c r="M33" s="163" t="s">
        <v>4</v>
      </c>
      <c r="N33" s="164" t="s">
        <v>4</v>
      </c>
      <c r="O33" s="163" t="s">
        <v>4</v>
      </c>
      <c r="P33" s="164" t="s">
        <v>4</v>
      </c>
      <c r="Q33" s="163" t="s">
        <v>4</v>
      </c>
      <c r="R33" s="148" t="s">
        <v>4</v>
      </c>
      <c r="S33" s="148" t="s">
        <v>4</v>
      </c>
      <c r="T33" s="148" t="s">
        <v>4</v>
      </c>
      <c r="U33" s="148" t="s">
        <v>4</v>
      </c>
      <c r="V33" s="148"/>
      <c r="W33" s="150"/>
      <c r="X33" s="148"/>
      <c r="Y33" s="148"/>
      <c r="Z33" s="148"/>
      <c r="AA33" s="148"/>
    </row>
    <row r="34" spans="1:27" ht="16" x14ac:dyDescent="0.25">
      <c r="A34" s="149" t="s">
        <v>4</v>
      </c>
      <c r="B34" s="148" t="s">
        <v>4</v>
      </c>
      <c r="C34" s="148" t="s">
        <v>4</v>
      </c>
      <c r="D34" s="164" t="s">
        <v>4</v>
      </c>
      <c r="E34" s="164" t="s">
        <v>4</v>
      </c>
      <c r="F34" s="156" t="s">
        <v>4</v>
      </c>
      <c r="G34" s="156" t="s">
        <v>4</v>
      </c>
      <c r="H34" s="156" t="s">
        <v>4</v>
      </c>
      <c r="I34" s="156" t="s">
        <v>4</v>
      </c>
      <c r="J34" s="156" t="s">
        <v>4</v>
      </c>
      <c r="K34" s="156" t="s">
        <v>4</v>
      </c>
      <c r="L34" s="164" t="s">
        <v>4</v>
      </c>
      <c r="M34" s="163" t="s">
        <v>4</v>
      </c>
      <c r="N34" s="164" t="s">
        <v>4</v>
      </c>
      <c r="O34" s="163" t="s">
        <v>4</v>
      </c>
      <c r="P34" s="164" t="s">
        <v>4</v>
      </c>
      <c r="Q34" s="163" t="s">
        <v>4</v>
      </c>
      <c r="R34" s="148" t="s">
        <v>4</v>
      </c>
      <c r="S34" s="148" t="s">
        <v>4</v>
      </c>
      <c r="T34" s="148" t="s">
        <v>4</v>
      </c>
      <c r="U34" s="148" t="s">
        <v>4</v>
      </c>
      <c r="V34" s="148"/>
      <c r="W34" s="150"/>
      <c r="X34" s="148"/>
      <c r="Y34" s="148"/>
      <c r="Z34" s="148"/>
      <c r="AA34" s="148"/>
    </row>
    <row r="35" spans="1:27" ht="16" x14ac:dyDescent="0.25">
      <c r="A35" s="149" t="s">
        <v>4</v>
      </c>
      <c r="B35" s="148" t="s">
        <v>4</v>
      </c>
      <c r="C35" s="148" t="s">
        <v>4</v>
      </c>
      <c r="D35" s="164" t="s">
        <v>4</v>
      </c>
      <c r="E35" s="164" t="s">
        <v>4</v>
      </c>
      <c r="F35" s="156" t="s">
        <v>4</v>
      </c>
      <c r="G35" s="156" t="s">
        <v>4</v>
      </c>
      <c r="H35" s="156" t="s">
        <v>4</v>
      </c>
      <c r="I35" s="156" t="s">
        <v>4</v>
      </c>
      <c r="J35" s="156" t="s">
        <v>4</v>
      </c>
      <c r="K35" s="156" t="s">
        <v>4</v>
      </c>
      <c r="L35" s="164" t="s">
        <v>4</v>
      </c>
      <c r="M35" s="163" t="s">
        <v>4</v>
      </c>
      <c r="N35" s="164" t="s">
        <v>4</v>
      </c>
      <c r="O35" s="163" t="s">
        <v>4</v>
      </c>
      <c r="P35" s="164" t="s">
        <v>4</v>
      </c>
      <c r="Q35" s="163" t="s">
        <v>4</v>
      </c>
      <c r="R35" s="148" t="s">
        <v>4</v>
      </c>
      <c r="S35" s="148" t="s">
        <v>4</v>
      </c>
      <c r="T35" s="148" t="s">
        <v>4</v>
      </c>
      <c r="U35" s="148" t="s">
        <v>4</v>
      </c>
      <c r="V35" s="148"/>
      <c r="W35" s="150"/>
      <c r="X35" s="148"/>
      <c r="Y35" s="148"/>
      <c r="Z35" s="148"/>
      <c r="AA35" s="148"/>
    </row>
    <row r="36" spans="1:27" ht="16" x14ac:dyDescent="0.25">
      <c r="A36" s="149" t="s">
        <v>4</v>
      </c>
      <c r="B36" s="148" t="s">
        <v>4</v>
      </c>
      <c r="C36" s="148" t="s">
        <v>4</v>
      </c>
      <c r="D36" s="164" t="s">
        <v>4</v>
      </c>
      <c r="E36" s="164" t="s">
        <v>4</v>
      </c>
      <c r="F36" s="156" t="s">
        <v>4</v>
      </c>
      <c r="G36" s="156" t="s">
        <v>4</v>
      </c>
      <c r="H36" s="156" t="s">
        <v>4</v>
      </c>
      <c r="I36" s="156" t="s">
        <v>4</v>
      </c>
      <c r="J36" s="156" t="s">
        <v>4</v>
      </c>
      <c r="K36" s="156" t="s">
        <v>4</v>
      </c>
      <c r="L36" s="164" t="s">
        <v>4</v>
      </c>
      <c r="M36" s="163" t="s">
        <v>4</v>
      </c>
      <c r="N36" s="164" t="s">
        <v>4</v>
      </c>
      <c r="O36" s="163" t="s">
        <v>4</v>
      </c>
      <c r="P36" s="164" t="s">
        <v>4</v>
      </c>
      <c r="Q36" s="163" t="s">
        <v>4</v>
      </c>
      <c r="R36" s="148" t="s">
        <v>4</v>
      </c>
      <c r="S36" s="148" t="s">
        <v>4</v>
      </c>
      <c r="T36" s="148" t="s">
        <v>4</v>
      </c>
      <c r="U36" s="148" t="s">
        <v>4</v>
      </c>
      <c r="V36" s="148"/>
      <c r="W36" s="150"/>
      <c r="X36" s="148"/>
      <c r="Y36" s="148"/>
      <c r="Z36" s="148"/>
      <c r="AA36" s="148"/>
    </row>
    <row r="37" spans="1:27" ht="16" x14ac:dyDescent="0.25">
      <c r="A37" s="149" t="s">
        <v>4</v>
      </c>
      <c r="B37" s="148" t="s">
        <v>4</v>
      </c>
      <c r="C37" s="148" t="s">
        <v>4</v>
      </c>
      <c r="D37" s="164" t="s">
        <v>4</v>
      </c>
      <c r="E37" s="164" t="s">
        <v>4</v>
      </c>
      <c r="F37" s="156" t="s">
        <v>4</v>
      </c>
      <c r="G37" s="156" t="s">
        <v>4</v>
      </c>
      <c r="H37" s="156" t="s">
        <v>4</v>
      </c>
      <c r="I37" s="156" t="s">
        <v>4</v>
      </c>
      <c r="J37" s="156" t="s">
        <v>4</v>
      </c>
      <c r="K37" s="156" t="s">
        <v>4</v>
      </c>
      <c r="L37" s="164" t="s">
        <v>4</v>
      </c>
      <c r="M37" s="163" t="s">
        <v>4</v>
      </c>
      <c r="N37" s="164" t="s">
        <v>4</v>
      </c>
      <c r="O37" s="163" t="s">
        <v>4</v>
      </c>
      <c r="P37" s="164" t="s">
        <v>4</v>
      </c>
      <c r="Q37" s="163" t="s">
        <v>4</v>
      </c>
      <c r="R37" s="148" t="s">
        <v>4</v>
      </c>
      <c r="S37" s="148" t="s">
        <v>4</v>
      </c>
      <c r="T37" s="148" t="s">
        <v>4</v>
      </c>
      <c r="U37" s="148" t="s">
        <v>4</v>
      </c>
      <c r="V37" s="148"/>
      <c r="W37" s="150"/>
      <c r="X37" s="148"/>
      <c r="Y37" s="148"/>
      <c r="Z37" s="148"/>
      <c r="AA37" s="148"/>
    </row>
    <row r="38" spans="1:27" ht="16" x14ac:dyDescent="0.25">
      <c r="A38" s="149" t="s">
        <v>4</v>
      </c>
      <c r="B38" s="148" t="s">
        <v>4</v>
      </c>
      <c r="C38" s="148" t="s">
        <v>4</v>
      </c>
      <c r="D38" s="164" t="s">
        <v>4</v>
      </c>
      <c r="E38" s="164" t="s">
        <v>4</v>
      </c>
      <c r="F38" s="156" t="s">
        <v>4</v>
      </c>
      <c r="G38" s="156" t="s">
        <v>4</v>
      </c>
      <c r="H38" s="156" t="s">
        <v>4</v>
      </c>
      <c r="I38" s="156" t="s">
        <v>4</v>
      </c>
      <c r="J38" s="156" t="s">
        <v>4</v>
      </c>
      <c r="K38" s="156" t="s">
        <v>4</v>
      </c>
      <c r="L38" s="164" t="s">
        <v>4</v>
      </c>
      <c r="M38" s="163" t="s">
        <v>4</v>
      </c>
      <c r="N38" s="164" t="s">
        <v>4</v>
      </c>
      <c r="O38" s="163" t="s">
        <v>4</v>
      </c>
      <c r="P38" s="164" t="s">
        <v>4</v>
      </c>
      <c r="Q38" s="163" t="s">
        <v>4</v>
      </c>
      <c r="R38" s="148" t="s">
        <v>4</v>
      </c>
      <c r="S38" s="148" t="s">
        <v>4</v>
      </c>
      <c r="T38" s="148" t="s">
        <v>4</v>
      </c>
      <c r="U38" s="148" t="s">
        <v>4</v>
      </c>
      <c r="V38" s="148"/>
      <c r="W38" s="150"/>
      <c r="X38" s="148"/>
      <c r="Y38" s="148"/>
      <c r="Z38" s="148"/>
      <c r="AA38" s="148"/>
    </row>
    <row r="39" spans="1:27" ht="16" x14ac:dyDescent="0.25">
      <c r="A39" s="149" t="s">
        <v>4</v>
      </c>
      <c r="B39" s="148" t="s">
        <v>4</v>
      </c>
      <c r="C39" s="148" t="s">
        <v>4</v>
      </c>
      <c r="D39" s="164" t="s">
        <v>4</v>
      </c>
      <c r="E39" s="164" t="s">
        <v>4</v>
      </c>
      <c r="F39" s="156" t="s">
        <v>4</v>
      </c>
      <c r="G39" s="156" t="s">
        <v>4</v>
      </c>
      <c r="H39" s="156" t="s">
        <v>4</v>
      </c>
      <c r="I39" s="156" t="s">
        <v>4</v>
      </c>
      <c r="J39" s="156" t="s">
        <v>4</v>
      </c>
      <c r="K39" s="156" t="s">
        <v>4</v>
      </c>
      <c r="L39" s="164" t="s">
        <v>4</v>
      </c>
      <c r="M39" s="163" t="s">
        <v>4</v>
      </c>
      <c r="N39" s="164" t="s">
        <v>4</v>
      </c>
      <c r="O39" s="163" t="s">
        <v>4</v>
      </c>
      <c r="P39" s="164" t="s">
        <v>4</v>
      </c>
      <c r="Q39" s="163" t="s">
        <v>4</v>
      </c>
      <c r="R39" s="148" t="s">
        <v>4</v>
      </c>
      <c r="S39" s="148" t="s">
        <v>4</v>
      </c>
      <c r="T39" s="148" t="s">
        <v>4</v>
      </c>
      <c r="U39" s="148" t="s">
        <v>4</v>
      </c>
      <c r="V39" s="148"/>
      <c r="W39" s="150"/>
      <c r="X39" s="148"/>
      <c r="Y39" s="148"/>
      <c r="Z39" s="148"/>
      <c r="AA39" s="148"/>
    </row>
    <row r="40" spans="1:27" ht="16" x14ac:dyDescent="0.25">
      <c r="A40" s="149" t="s">
        <v>4</v>
      </c>
      <c r="B40" s="148" t="s">
        <v>4</v>
      </c>
      <c r="C40" s="148" t="s">
        <v>4</v>
      </c>
      <c r="D40" s="164" t="s">
        <v>4</v>
      </c>
      <c r="E40" s="164" t="s">
        <v>4</v>
      </c>
      <c r="F40" s="156" t="s">
        <v>4</v>
      </c>
      <c r="G40" s="156" t="s">
        <v>4</v>
      </c>
      <c r="H40" s="156" t="s">
        <v>4</v>
      </c>
      <c r="I40" s="156" t="s">
        <v>4</v>
      </c>
      <c r="J40" s="156" t="s">
        <v>4</v>
      </c>
      <c r="K40" s="156" t="s">
        <v>4</v>
      </c>
      <c r="L40" s="164" t="s">
        <v>4</v>
      </c>
      <c r="M40" s="163" t="s">
        <v>4</v>
      </c>
      <c r="N40" s="164" t="s">
        <v>4</v>
      </c>
      <c r="O40" s="163" t="s">
        <v>4</v>
      </c>
      <c r="P40" s="164" t="s">
        <v>4</v>
      </c>
      <c r="Q40" s="163" t="s">
        <v>4</v>
      </c>
      <c r="R40" s="148" t="s">
        <v>4</v>
      </c>
      <c r="S40" s="148" t="s">
        <v>4</v>
      </c>
      <c r="T40" s="148" t="s">
        <v>4</v>
      </c>
      <c r="U40" s="148" t="s">
        <v>4</v>
      </c>
      <c r="V40" s="148"/>
      <c r="W40" s="150"/>
      <c r="X40" s="148"/>
      <c r="Y40" s="148"/>
      <c r="Z40" s="148"/>
      <c r="AA40" s="148"/>
    </row>
    <row r="41" spans="1:27" ht="16" x14ac:dyDescent="0.25">
      <c r="A41" s="149"/>
      <c r="B41" s="148"/>
      <c r="C41" s="148"/>
      <c r="D41" s="164"/>
      <c r="E41" s="164"/>
      <c r="F41" s="164"/>
      <c r="G41" s="164"/>
      <c r="H41" s="164"/>
      <c r="I41" s="156"/>
      <c r="J41" s="156"/>
      <c r="K41" s="156"/>
      <c r="L41" s="156"/>
      <c r="M41" s="156"/>
      <c r="N41" s="156"/>
      <c r="O41" s="164"/>
      <c r="P41" s="164"/>
      <c r="Q41" s="164"/>
      <c r="R41" s="148"/>
      <c r="S41" s="150"/>
      <c r="T41" s="148"/>
      <c r="U41" s="150"/>
      <c r="V41" s="148"/>
      <c r="W41" s="150"/>
      <c r="X41" s="148"/>
      <c r="Y41" s="148"/>
      <c r="Z41" s="148"/>
      <c r="AA41" s="148"/>
    </row>
  </sheetData>
  <mergeCells count="6">
    <mergeCell ref="F4:K4"/>
    <mergeCell ref="X1:Y1"/>
    <mergeCell ref="F1:K1"/>
    <mergeCell ref="L1:Q1"/>
    <mergeCell ref="R1:S1"/>
    <mergeCell ref="F3:K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EA3D-CB46-4BD7-8BD0-9DB504C466C2}">
  <dimension ref="A1:E4"/>
  <sheetViews>
    <sheetView workbookViewId="0"/>
  </sheetViews>
  <sheetFormatPr baseColWidth="10" defaultColWidth="11.5" defaultRowHeight="15" x14ac:dyDescent="0.2"/>
  <cols>
    <col min="1" max="1" width="29.5" customWidth="1"/>
    <col min="2" max="2" width="36" customWidth="1"/>
    <col min="3" max="3" width="35.5" customWidth="1"/>
    <col min="4" max="4" width="48.1640625" customWidth="1"/>
    <col min="5" max="5" width="24.5" customWidth="1"/>
  </cols>
  <sheetData>
    <row r="1" spans="1:5" x14ac:dyDescent="0.2">
      <c r="A1" s="60" t="s">
        <v>286</v>
      </c>
      <c r="B1" s="60" t="s">
        <v>287</v>
      </c>
      <c r="C1" s="60" t="s">
        <v>415</v>
      </c>
      <c r="D1" s="66" t="s">
        <v>416</v>
      </c>
      <c r="E1" s="60" t="s">
        <v>32</v>
      </c>
    </row>
    <row r="2" spans="1:5" x14ac:dyDescent="0.2">
      <c r="A2" s="47" t="s">
        <v>417</v>
      </c>
      <c r="B2" s="47" t="s">
        <v>418</v>
      </c>
      <c r="C2" s="47" t="s">
        <v>419</v>
      </c>
      <c r="D2" s="350" t="s">
        <v>420</v>
      </c>
      <c r="E2" s="1"/>
    </row>
    <row r="3" spans="1:5" ht="16" x14ac:dyDescent="0.2">
      <c r="A3" s="47" t="s">
        <v>421</v>
      </c>
      <c r="B3" s="16" t="s">
        <v>422</v>
      </c>
      <c r="C3" s="349" t="s">
        <v>423</v>
      </c>
      <c r="D3" s="351" t="s">
        <v>423</v>
      </c>
      <c r="E3" s="1"/>
    </row>
    <row r="4" spans="1:5" ht="32" x14ac:dyDescent="0.2">
      <c r="A4" s="47" t="s">
        <v>424</v>
      </c>
      <c r="B4" s="348" t="s">
        <v>425</v>
      </c>
      <c r="C4" s="1"/>
      <c r="D4" s="352" t="s">
        <v>426</v>
      </c>
      <c r="E4" s="46" t="s">
        <v>427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989D-C586-40CB-A6EA-EDC32D3CA138}">
  <dimension ref="A1:V40"/>
  <sheetViews>
    <sheetView zoomScale="80" zoomScaleNormal="80" workbookViewId="0">
      <pane xSplit="1" topLeftCell="B1" activePane="topRight" state="frozen"/>
      <selection pane="topRight" activeCell="S4" sqref="S4"/>
    </sheetView>
  </sheetViews>
  <sheetFormatPr baseColWidth="10" defaultColWidth="10.83203125" defaultRowHeight="15" x14ac:dyDescent="0.2"/>
  <cols>
    <col min="1" max="1" width="3.1640625" style="8" bestFit="1" customWidth="1"/>
    <col min="2" max="2" width="40.5" customWidth="1"/>
    <col min="3" max="3" width="40.5" hidden="1" customWidth="1"/>
    <col min="4" max="5" width="12.5" style="8" hidden="1" customWidth="1"/>
    <col min="6" max="6" width="10.5" style="8" hidden="1" customWidth="1"/>
    <col min="7" max="11" width="12.5" style="8" hidden="1" customWidth="1"/>
    <col min="12" max="19" width="12.5" style="8" customWidth="1"/>
    <col min="20" max="20" width="50.5" style="8" customWidth="1"/>
    <col min="21" max="22" width="70.5" style="52" customWidth="1"/>
  </cols>
  <sheetData>
    <row r="1" spans="1:22" ht="15" customHeight="1" x14ac:dyDescent="0.25">
      <c r="A1" s="160"/>
      <c r="B1" s="435" t="s">
        <v>428</v>
      </c>
      <c r="C1" s="160"/>
      <c r="D1" s="167"/>
      <c r="E1" s="167"/>
      <c r="F1" s="850" t="s">
        <v>1</v>
      </c>
      <c r="G1" s="851"/>
      <c r="H1" s="851"/>
      <c r="I1" s="851"/>
      <c r="J1" s="851"/>
      <c r="K1" s="852"/>
      <c r="L1" s="853" t="s">
        <v>2</v>
      </c>
      <c r="M1" s="853"/>
      <c r="N1" s="853"/>
      <c r="O1" s="853"/>
      <c r="P1" s="853"/>
      <c r="Q1" s="854"/>
      <c r="R1" s="855" t="s">
        <v>3</v>
      </c>
      <c r="S1" s="856"/>
      <c r="T1" s="155" t="s">
        <v>4</v>
      </c>
      <c r="U1" s="155" t="s">
        <v>4</v>
      </c>
      <c r="V1" s="155"/>
    </row>
    <row r="2" spans="1:22" ht="48" x14ac:dyDescent="0.25">
      <c r="A2" s="145" t="s">
        <v>5</v>
      </c>
      <c r="B2" s="146" t="s">
        <v>6</v>
      </c>
      <c r="C2" s="146" t="s">
        <v>362</v>
      </c>
      <c r="D2" s="168" t="s">
        <v>9</v>
      </c>
      <c r="E2" s="168" t="s">
        <v>11</v>
      </c>
      <c r="F2" s="166" t="s">
        <v>365</v>
      </c>
      <c r="G2" s="166" t="s">
        <v>15</v>
      </c>
      <c r="H2" s="166" t="s">
        <v>16</v>
      </c>
      <c r="I2" s="166" t="s">
        <v>17</v>
      </c>
      <c r="J2" s="166" t="s">
        <v>18</v>
      </c>
      <c r="K2" s="166" t="s">
        <v>19</v>
      </c>
      <c r="L2" s="157" t="s">
        <v>20</v>
      </c>
      <c r="M2" s="157" t="s">
        <v>366</v>
      </c>
      <c r="N2" s="157" t="s">
        <v>367</v>
      </c>
      <c r="O2" s="157" t="s">
        <v>366</v>
      </c>
      <c r="P2" s="157" t="s">
        <v>296</v>
      </c>
      <c r="Q2" s="157" t="s">
        <v>366</v>
      </c>
      <c r="R2" s="436" t="s">
        <v>297</v>
      </c>
      <c r="S2" s="436" t="s">
        <v>29</v>
      </c>
      <c r="T2" s="147" t="s">
        <v>368</v>
      </c>
      <c r="U2" s="147" t="s">
        <v>32</v>
      </c>
      <c r="V2" s="147"/>
    </row>
    <row r="3" spans="1:22" s="117" customFormat="1" ht="39.75" customHeight="1" x14ac:dyDescent="0.2">
      <c r="A3" s="169">
        <v>1</v>
      </c>
      <c r="B3" s="248" t="s">
        <v>45</v>
      </c>
      <c r="C3" s="171" t="s">
        <v>369</v>
      </c>
      <c r="D3" s="172" t="s">
        <v>46</v>
      </c>
      <c r="E3" s="194" t="s">
        <v>4</v>
      </c>
      <c r="F3" s="846" t="s">
        <v>50</v>
      </c>
      <c r="G3" s="846"/>
      <c r="H3" s="846"/>
      <c r="I3" s="846"/>
      <c r="J3" s="846"/>
      <c r="K3" s="847"/>
      <c r="L3" s="175">
        <v>45853</v>
      </c>
      <c r="M3" s="176">
        <v>45853</v>
      </c>
      <c r="N3" s="175">
        <v>45884</v>
      </c>
      <c r="O3" s="176">
        <v>45884</v>
      </c>
      <c r="P3" s="177">
        <v>45926</v>
      </c>
      <c r="Q3" s="176">
        <v>45926</v>
      </c>
      <c r="R3" s="177">
        <v>45948</v>
      </c>
      <c r="S3" s="177">
        <v>45962</v>
      </c>
      <c r="T3" s="179" t="s">
        <v>370</v>
      </c>
      <c r="U3" s="179" t="s">
        <v>4</v>
      </c>
      <c r="V3" s="179"/>
    </row>
    <row r="4" spans="1:22" s="117" customFormat="1" ht="39.75" customHeight="1" x14ac:dyDescent="0.2">
      <c r="A4" s="181">
        <v>2</v>
      </c>
      <c r="B4" s="249" t="s">
        <v>52</v>
      </c>
      <c r="C4" s="183" t="s">
        <v>372</v>
      </c>
      <c r="D4" s="184" t="s">
        <v>53</v>
      </c>
      <c r="E4" s="194" t="s">
        <v>4</v>
      </c>
      <c r="F4" s="846" t="s">
        <v>50</v>
      </c>
      <c r="G4" s="846"/>
      <c r="H4" s="846"/>
      <c r="I4" s="846"/>
      <c r="J4" s="846"/>
      <c r="K4" s="847"/>
      <c r="L4" s="185">
        <v>45853</v>
      </c>
      <c r="M4" s="186">
        <v>45853</v>
      </c>
      <c r="N4" s="185">
        <v>45884</v>
      </c>
      <c r="O4" s="186">
        <v>45884</v>
      </c>
      <c r="P4" s="187">
        <v>45926</v>
      </c>
      <c r="Q4" s="188">
        <v>45926</v>
      </c>
      <c r="R4" s="437">
        <v>45990</v>
      </c>
      <c r="S4" s="187">
        <v>46004</v>
      </c>
      <c r="T4" s="179" t="s">
        <v>373</v>
      </c>
      <c r="U4" s="179" t="s">
        <v>374</v>
      </c>
      <c r="V4" s="179"/>
    </row>
    <row r="5" spans="1:22" s="117" customFormat="1" ht="39.75" customHeight="1" x14ac:dyDescent="0.2">
      <c r="A5" s="192">
        <v>3</v>
      </c>
      <c r="B5" s="250" t="s">
        <v>65</v>
      </c>
      <c r="C5" s="179" t="s">
        <v>375</v>
      </c>
      <c r="D5" s="194" t="s">
        <v>66</v>
      </c>
      <c r="E5" s="194" t="s">
        <v>429</v>
      </c>
      <c r="F5" s="194" t="s">
        <v>4</v>
      </c>
      <c r="G5" s="195">
        <v>45915</v>
      </c>
      <c r="H5" s="194" t="s">
        <v>4</v>
      </c>
      <c r="I5" s="194" t="s">
        <v>4</v>
      </c>
      <c r="J5" s="194" t="s">
        <v>4</v>
      </c>
      <c r="K5" s="194" t="s">
        <v>4</v>
      </c>
      <c r="L5" s="196">
        <v>45915</v>
      </c>
      <c r="M5" s="188">
        <v>45930</v>
      </c>
      <c r="N5" s="196">
        <v>45930</v>
      </c>
      <c r="O5" s="188">
        <v>45954</v>
      </c>
      <c r="P5" s="196">
        <v>45945</v>
      </c>
      <c r="Q5" s="197">
        <v>45979</v>
      </c>
      <c r="R5" s="203">
        <v>45977</v>
      </c>
      <c r="S5" s="438">
        <v>45991</v>
      </c>
      <c r="T5" s="179" t="s">
        <v>377</v>
      </c>
      <c r="U5" s="179" t="s">
        <v>378</v>
      </c>
      <c r="V5" s="179"/>
    </row>
    <row r="6" spans="1:22" s="117" customFormat="1" ht="39.75" customHeight="1" x14ac:dyDescent="0.2">
      <c r="A6" s="169">
        <v>4</v>
      </c>
      <c r="B6" s="250" t="s">
        <v>76</v>
      </c>
      <c r="C6" s="179" t="s">
        <v>430</v>
      </c>
      <c r="D6" s="194" t="s">
        <v>77</v>
      </c>
      <c r="E6" s="194" t="s">
        <v>307</v>
      </c>
      <c r="F6" s="194" t="s">
        <v>4</v>
      </c>
      <c r="G6" s="194" t="s">
        <v>382</v>
      </c>
      <c r="H6" s="194" t="s">
        <v>4</v>
      </c>
      <c r="I6" s="194" t="s">
        <v>4</v>
      </c>
      <c r="J6" s="194" t="s">
        <v>4</v>
      </c>
      <c r="K6" s="194" t="s">
        <v>4</v>
      </c>
      <c r="L6" s="203">
        <v>45915</v>
      </c>
      <c r="M6" s="197" t="s">
        <v>431</v>
      </c>
      <c r="N6" s="203">
        <v>45961</v>
      </c>
      <c r="O6" s="197" t="s">
        <v>431</v>
      </c>
      <c r="P6" s="203">
        <v>45991</v>
      </c>
      <c r="Q6" s="197" t="s">
        <v>431</v>
      </c>
      <c r="R6" s="211" t="s">
        <v>4</v>
      </c>
      <c r="S6" s="439" t="s">
        <v>383</v>
      </c>
      <c r="T6" s="179" t="s">
        <v>384</v>
      </c>
      <c r="U6" s="179" t="s">
        <v>385</v>
      </c>
      <c r="V6" s="179"/>
    </row>
    <row r="7" spans="1:22" s="117" customFormat="1" ht="39.75" customHeight="1" x14ac:dyDescent="0.2">
      <c r="A7" s="181">
        <v>5</v>
      </c>
      <c r="B7" s="250" t="s">
        <v>85</v>
      </c>
      <c r="C7" s="179" t="s">
        <v>432</v>
      </c>
      <c r="D7" s="194" t="s">
        <v>77</v>
      </c>
      <c r="E7" s="194" t="s">
        <v>87</v>
      </c>
      <c r="F7" s="205" t="s">
        <v>389</v>
      </c>
      <c r="G7" s="194" t="s">
        <v>390</v>
      </c>
      <c r="H7" s="194" t="s">
        <v>4</v>
      </c>
      <c r="I7" s="194" t="s">
        <v>4</v>
      </c>
      <c r="J7" s="194" t="s">
        <v>4</v>
      </c>
      <c r="K7" s="194" t="s">
        <v>4</v>
      </c>
      <c r="L7" s="203">
        <v>45915</v>
      </c>
      <c r="M7" s="197">
        <v>45951</v>
      </c>
      <c r="N7" s="203">
        <v>45961</v>
      </c>
      <c r="O7" s="197" t="s">
        <v>433</v>
      </c>
      <c r="P7" s="203">
        <v>45991</v>
      </c>
      <c r="Q7" s="197">
        <v>46006</v>
      </c>
      <c r="R7" s="203">
        <v>45963</v>
      </c>
      <c r="S7" s="203">
        <v>46025</v>
      </c>
      <c r="T7" s="179" t="s">
        <v>391</v>
      </c>
      <c r="U7" s="206" t="s">
        <v>392</v>
      </c>
      <c r="V7" s="206"/>
    </row>
    <row r="8" spans="1:22" s="117" customFormat="1" ht="39.75" customHeight="1" x14ac:dyDescent="0.2">
      <c r="A8" s="192">
        <v>6</v>
      </c>
      <c r="B8" s="251" t="s">
        <v>397</v>
      </c>
      <c r="C8" s="179" t="s">
        <v>398</v>
      </c>
      <c r="D8" s="194" t="s">
        <v>314</v>
      </c>
      <c r="E8" s="194" t="s">
        <v>214</v>
      </c>
      <c r="F8" s="194" t="s">
        <v>4</v>
      </c>
      <c r="G8" s="194" t="s">
        <v>399</v>
      </c>
      <c r="H8" s="194" t="s">
        <v>4</v>
      </c>
      <c r="I8" s="194" t="s">
        <v>4</v>
      </c>
      <c r="J8" s="194" t="s">
        <v>4</v>
      </c>
      <c r="K8" s="194" t="s">
        <v>4</v>
      </c>
      <c r="L8" s="208">
        <v>45925</v>
      </c>
      <c r="M8" s="204" t="s">
        <v>4</v>
      </c>
      <c r="N8" s="208">
        <v>45986</v>
      </c>
      <c r="O8" s="204" t="s">
        <v>4</v>
      </c>
      <c r="P8" s="211" t="s">
        <v>4</v>
      </c>
      <c r="Q8" s="204" t="s">
        <v>4</v>
      </c>
      <c r="R8" s="203">
        <v>46023</v>
      </c>
      <c r="S8" s="211" t="s">
        <v>383</v>
      </c>
      <c r="T8" s="207" t="s">
        <v>400</v>
      </c>
      <c r="U8" s="179" t="s">
        <v>4</v>
      </c>
      <c r="V8" s="179"/>
    </row>
    <row r="9" spans="1:22" s="117" customFormat="1" ht="39.75" customHeight="1" x14ac:dyDescent="0.2">
      <c r="A9" s="169">
        <v>7</v>
      </c>
      <c r="B9" s="250" t="s">
        <v>320</v>
      </c>
      <c r="C9" s="179" t="s">
        <v>401</v>
      </c>
      <c r="D9" s="194" t="s">
        <v>136</v>
      </c>
      <c r="E9" s="194" t="s">
        <v>129</v>
      </c>
      <c r="F9" s="194" t="s">
        <v>4</v>
      </c>
      <c r="G9" s="194" t="s">
        <v>403</v>
      </c>
      <c r="H9" s="194" t="s">
        <v>4</v>
      </c>
      <c r="I9" s="194" t="s">
        <v>4</v>
      </c>
      <c r="J9" s="194" t="s">
        <v>4</v>
      </c>
      <c r="K9" s="194" t="s">
        <v>4</v>
      </c>
      <c r="L9" s="208">
        <v>45955</v>
      </c>
      <c r="M9" s="197">
        <v>45954</v>
      </c>
      <c r="N9" s="208">
        <v>45986</v>
      </c>
      <c r="O9" s="197">
        <v>45989</v>
      </c>
      <c r="P9" s="211" t="s">
        <v>404</v>
      </c>
      <c r="Q9" s="204" t="s">
        <v>4</v>
      </c>
      <c r="R9" s="203">
        <v>45778</v>
      </c>
      <c r="S9" s="211" t="s">
        <v>405</v>
      </c>
      <c r="T9" s="207" t="s">
        <v>406</v>
      </c>
      <c r="U9" s="179" t="s">
        <v>4</v>
      </c>
      <c r="V9" s="179"/>
    </row>
    <row r="10" spans="1:22" s="117" customFormat="1" ht="39.75" customHeight="1" x14ac:dyDescent="0.2">
      <c r="A10" s="181">
        <v>8</v>
      </c>
      <c r="B10" s="251" t="s">
        <v>322</v>
      </c>
      <c r="C10" s="179" t="s">
        <v>434</v>
      </c>
      <c r="D10" s="194" t="s">
        <v>156</v>
      </c>
      <c r="E10" s="194" t="s">
        <v>435</v>
      </c>
      <c r="F10" s="440">
        <v>45917</v>
      </c>
      <c r="G10" s="440">
        <v>45930</v>
      </c>
      <c r="H10" s="441" t="s">
        <v>183</v>
      </c>
      <c r="I10" s="441" t="s">
        <v>183</v>
      </c>
      <c r="J10" s="441" t="s">
        <v>4</v>
      </c>
      <c r="K10" s="441" t="s">
        <v>4</v>
      </c>
      <c r="L10" s="203">
        <v>45955</v>
      </c>
      <c r="M10" s="204" t="s">
        <v>4</v>
      </c>
      <c r="N10" s="203">
        <v>45992</v>
      </c>
      <c r="O10" s="204" t="s">
        <v>4</v>
      </c>
      <c r="P10" s="203">
        <v>46113</v>
      </c>
      <c r="Q10" s="204" t="s">
        <v>4</v>
      </c>
      <c r="R10" s="195">
        <v>46204</v>
      </c>
      <c r="S10" s="195">
        <v>46223</v>
      </c>
      <c r="T10" s="179" t="s">
        <v>4</v>
      </c>
      <c r="U10" s="179" t="s">
        <v>4</v>
      </c>
      <c r="V10" s="179"/>
    </row>
    <row r="11" spans="1:22" s="117" customFormat="1" ht="39.75" customHeight="1" x14ac:dyDescent="0.2">
      <c r="A11" s="192">
        <v>9</v>
      </c>
      <c r="B11" s="251" t="s">
        <v>108</v>
      </c>
      <c r="C11" s="179" t="s">
        <v>436</v>
      </c>
      <c r="D11" s="194" t="s">
        <v>109</v>
      </c>
      <c r="E11" s="194" t="s">
        <v>111</v>
      </c>
      <c r="F11" s="194" t="s">
        <v>4</v>
      </c>
      <c r="G11" s="194" t="s">
        <v>403</v>
      </c>
      <c r="H11" s="194" t="s">
        <v>93</v>
      </c>
      <c r="I11" s="194" t="s">
        <v>4</v>
      </c>
      <c r="J11" s="194" t="s">
        <v>4</v>
      </c>
      <c r="K11" s="194" t="s">
        <v>4</v>
      </c>
      <c r="L11" s="203">
        <v>45929</v>
      </c>
      <c r="M11" s="204" t="s">
        <v>4</v>
      </c>
      <c r="N11" s="203">
        <v>45957</v>
      </c>
      <c r="O11" s="204" t="s">
        <v>4</v>
      </c>
      <c r="P11" s="203">
        <v>45991</v>
      </c>
      <c r="Q11" s="204" t="s">
        <v>4</v>
      </c>
      <c r="R11" s="211" t="s">
        <v>142</v>
      </c>
      <c r="S11" s="208">
        <v>45661</v>
      </c>
      <c r="T11" s="179" t="s">
        <v>437</v>
      </c>
      <c r="U11" s="179" t="s">
        <v>316</v>
      </c>
      <c r="V11" s="179"/>
    </row>
    <row r="12" spans="1:22" ht="30" customHeight="1" x14ac:dyDescent="0.25">
      <c r="A12" s="161">
        <v>10</v>
      </c>
      <c r="B12" s="246" t="s">
        <v>194</v>
      </c>
      <c r="C12" s="148" t="s">
        <v>409</v>
      </c>
      <c r="D12" s="164" t="s">
        <v>314</v>
      </c>
      <c r="E12" s="164" t="s">
        <v>4</v>
      </c>
      <c r="F12" s="164" t="s">
        <v>4</v>
      </c>
      <c r="G12" s="164" t="s">
        <v>410</v>
      </c>
      <c r="H12" s="164" t="s">
        <v>4</v>
      </c>
      <c r="I12" s="164" t="s">
        <v>4</v>
      </c>
      <c r="J12" s="164" t="s">
        <v>4</v>
      </c>
      <c r="K12" s="164" t="s">
        <v>4</v>
      </c>
      <c r="L12" s="165">
        <v>45955</v>
      </c>
      <c r="M12" s="163" t="s">
        <v>4</v>
      </c>
      <c r="N12" s="164" t="s">
        <v>336</v>
      </c>
      <c r="O12" s="163" t="s">
        <v>4</v>
      </c>
      <c r="P12" s="165">
        <v>45956</v>
      </c>
      <c r="Q12" s="163" t="s">
        <v>4</v>
      </c>
      <c r="R12" s="164" t="s">
        <v>183</v>
      </c>
      <c r="S12" s="164" t="s">
        <v>183</v>
      </c>
      <c r="T12" s="153" t="s">
        <v>411</v>
      </c>
      <c r="U12" s="148" t="s">
        <v>4</v>
      </c>
      <c r="V12" s="148"/>
    </row>
    <row r="13" spans="1:22" ht="30" customHeight="1" x14ac:dyDescent="0.25">
      <c r="A13" s="162">
        <v>11</v>
      </c>
      <c r="B13" s="246" t="s">
        <v>180</v>
      </c>
      <c r="C13" s="148" t="s">
        <v>412</v>
      </c>
      <c r="D13" s="164" t="s">
        <v>181</v>
      </c>
      <c r="E13" s="164" t="s">
        <v>4</v>
      </c>
      <c r="F13" s="164" t="s">
        <v>4</v>
      </c>
      <c r="G13" s="164" t="s">
        <v>4</v>
      </c>
      <c r="H13" s="164" t="s">
        <v>4</v>
      </c>
      <c r="I13" s="164" t="s">
        <v>4</v>
      </c>
      <c r="J13" s="164" t="s">
        <v>4</v>
      </c>
      <c r="K13" s="164" t="s">
        <v>4</v>
      </c>
      <c r="L13" s="165">
        <v>45955</v>
      </c>
      <c r="M13" s="163" t="s">
        <v>4</v>
      </c>
      <c r="N13" s="164" t="s">
        <v>4</v>
      </c>
      <c r="O13" s="163" t="s">
        <v>4</v>
      </c>
      <c r="P13" s="164" t="s">
        <v>4</v>
      </c>
      <c r="Q13" s="163" t="s">
        <v>4</v>
      </c>
      <c r="R13" s="164" t="s">
        <v>183</v>
      </c>
      <c r="S13" s="164" t="s">
        <v>183</v>
      </c>
      <c r="T13" s="148" t="s">
        <v>413</v>
      </c>
      <c r="U13" s="148" t="s">
        <v>4</v>
      </c>
      <c r="V13" s="148"/>
    </row>
    <row r="14" spans="1:22" ht="30" customHeight="1" x14ac:dyDescent="0.25">
      <c r="A14" s="149">
        <v>12</v>
      </c>
      <c r="B14" s="246" t="s">
        <v>331</v>
      </c>
      <c r="C14" s="148" t="s">
        <v>4</v>
      </c>
      <c r="D14" s="164" t="s">
        <v>186</v>
      </c>
      <c r="E14" s="164" t="s">
        <v>4</v>
      </c>
      <c r="F14" s="164" t="s">
        <v>4</v>
      </c>
      <c r="G14" s="164" t="s">
        <v>4</v>
      </c>
      <c r="H14" s="164" t="s">
        <v>4</v>
      </c>
      <c r="I14" s="164" t="s">
        <v>4</v>
      </c>
      <c r="J14" s="164" t="s">
        <v>4</v>
      </c>
      <c r="K14" s="164" t="s">
        <v>4</v>
      </c>
      <c r="L14" s="165">
        <v>45986</v>
      </c>
      <c r="M14" s="163" t="s">
        <v>4</v>
      </c>
      <c r="N14" s="165">
        <v>46016</v>
      </c>
      <c r="O14" s="163" t="s">
        <v>4</v>
      </c>
      <c r="P14" s="165">
        <v>45683</v>
      </c>
      <c r="Q14" s="163" t="s">
        <v>4</v>
      </c>
      <c r="R14" s="164" t="s">
        <v>4</v>
      </c>
      <c r="S14" s="165">
        <v>45742</v>
      </c>
      <c r="T14" s="148" t="s">
        <v>4</v>
      </c>
      <c r="U14" s="148" t="s">
        <v>4</v>
      </c>
      <c r="V14" s="148"/>
    </row>
    <row r="15" spans="1:22" ht="30" customHeight="1" x14ac:dyDescent="0.25">
      <c r="A15" s="161">
        <v>13</v>
      </c>
      <c r="B15" s="246" t="s">
        <v>327</v>
      </c>
      <c r="C15" s="148" t="s">
        <v>4</v>
      </c>
      <c r="D15" s="164" t="s">
        <v>204</v>
      </c>
      <c r="E15" s="164" t="s">
        <v>4</v>
      </c>
      <c r="F15" s="164" t="s">
        <v>4</v>
      </c>
      <c r="G15" s="164" t="s">
        <v>410</v>
      </c>
      <c r="H15" s="164" t="s">
        <v>4</v>
      </c>
      <c r="I15" s="164" t="s">
        <v>4</v>
      </c>
      <c r="J15" s="164" t="s">
        <v>4</v>
      </c>
      <c r="K15" s="164" t="s">
        <v>4</v>
      </c>
      <c r="L15" s="165">
        <v>45683</v>
      </c>
      <c r="M15" s="163" t="s">
        <v>4</v>
      </c>
      <c r="N15" s="164" t="s">
        <v>4</v>
      </c>
      <c r="O15" s="163" t="s">
        <v>4</v>
      </c>
      <c r="P15" s="164" t="s">
        <v>4</v>
      </c>
      <c r="Q15" s="163" t="s">
        <v>4</v>
      </c>
      <c r="R15" s="164" t="s">
        <v>4</v>
      </c>
      <c r="S15" s="165">
        <v>45834</v>
      </c>
      <c r="T15" s="148" t="s">
        <v>4</v>
      </c>
      <c r="U15" s="148" t="s">
        <v>4</v>
      </c>
      <c r="V15" s="148"/>
    </row>
    <row r="16" spans="1:22" ht="30" customHeight="1" x14ac:dyDescent="0.25">
      <c r="A16" s="442">
        <v>14</v>
      </c>
      <c r="B16" s="247" t="s">
        <v>332</v>
      </c>
      <c r="C16" s="443" t="s">
        <v>4</v>
      </c>
      <c r="D16" s="444" t="s">
        <v>251</v>
      </c>
      <c r="E16" s="444" t="s">
        <v>4</v>
      </c>
      <c r="F16" s="444" t="s">
        <v>4</v>
      </c>
      <c r="G16" s="444" t="s">
        <v>4</v>
      </c>
      <c r="H16" s="444" t="s">
        <v>4</v>
      </c>
      <c r="I16" s="444" t="s">
        <v>4</v>
      </c>
      <c r="J16" s="444" t="s">
        <v>4</v>
      </c>
      <c r="K16" s="444" t="s">
        <v>4</v>
      </c>
      <c r="L16" s="445">
        <v>45683</v>
      </c>
      <c r="M16" s="446" t="s">
        <v>4</v>
      </c>
      <c r="N16" s="444" t="s">
        <v>4</v>
      </c>
      <c r="O16" s="446" t="s">
        <v>4</v>
      </c>
      <c r="P16" s="444" t="s">
        <v>4</v>
      </c>
      <c r="Q16" s="446" t="s">
        <v>4</v>
      </c>
      <c r="R16" s="444" t="s">
        <v>4</v>
      </c>
      <c r="S16" s="445">
        <v>45834</v>
      </c>
      <c r="T16" s="443" t="s">
        <v>414</v>
      </c>
      <c r="U16" s="443" t="s">
        <v>4</v>
      </c>
      <c r="V16" s="148"/>
    </row>
    <row r="17" spans="1:22" ht="30" customHeight="1" x14ac:dyDescent="0.25">
      <c r="A17" s="447"/>
      <c r="B17" s="148"/>
      <c r="C17" s="148"/>
      <c r="D17" s="164"/>
      <c r="E17" s="164"/>
      <c r="F17" s="164"/>
      <c r="G17" s="448"/>
      <c r="H17" s="156"/>
      <c r="I17" s="156"/>
      <c r="J17" s="156"/>
      <c r="K17" s="156"/>
      <c r="L17" s="156"/>
      <c r="M17" s="165"/>
      <c r="N17" s="163"/>
      <c r="O17" s="165"/>
      <c r="P17" s="163"/>
      <c r="Q17" s="164"/>
      <c r="R17" s="163"/>
      <c r="S17" s="164"/>
      <c r="T17" s="164"/>
      <c r="U17" s="148"/>
      <c r="V17" s="148"/>
    </row>
    <row r="18" spans="1:22" ht="16" x14ac:dyDescent="0.25">
      <c r="A18" s="447"/>
      <c r="B18" s="148"/>
      <c r="C18" s="148"/>
      <c r="D18" s="164"/>
      <c r="E18" s="164"/>
      <c r="F18" s="164"/>
      <c r="G18" s="156"/>
      <c r="H18" s="156"/>
      <c r="I18" s="156"/>
      <c r="J18" s="156"/>
      <c r="K18" s="156"/>
      <c r="L18" s="156"/>
      <c r="M18" s="164"/>
      <c r="N18" s="163"/>
      <c r="O18" s="164"/>
      <c r="P18" s="163"/>
      <c r="Q18" s="164"/>
      <c r="R18" s="163"/>
      <c r="S18" s="164"/>
      <c r="T18" s="164"/>
      <c r="U18" s="148"/>
      <c r="V18" s="148"/>
    </row>
    <row r="19" spans="1:22" ht="16" x14ac:dyDescent="0.25">
      <c r="A19" s="447"/>
      <c r="B19" s="148"/>
      <c r="C19" s="148"/>
      <c r="D19" s="164"/>
      <c r="E19" s="164"/>
      <c r="F19" s="164"/>
      <c r="G19" s="156"/>
      <c r="H19" s="156"/>
      <c r="I19" s="156"/>
      <c r="J19" s="156"/>
      <c r="K19" s="156"/>
      <c r="L19" s="156"/>
      <c r="M19" s="164"/>
      <c r="N19" s="163"/>
      <c r="O19" s="164"/>
      <c r="P19" s="163"/>
      <c r="Q19" s="164"/>
      <c r="R19" s="163"/>
      <c r="S19" s="164"/>
      <c r="T19" s="164"/>
      <c r="U19" s="148"/>
      <c r="V19" s="148"/>
    </row>
    <row r="20" spans="1:22" ht="16" x14ac:dyDescent="0.25">
      <c r="A20" s="447" t="s">
        <v>4</v>
      </c>
      <c r="B20" s="148" t="s">
        <v>4</v>
      </c>
      <c r="C20" s="148" t="s">
        <v>4</v>
      </c>
      <c r="D20" s="164" t="s">
        <v>4</v>
      </c>
      <c r="E20" s="164" t="s">
        <v>4</v>
      </c>
      <c r="F20" s="164" t="s">
        <v>4</v>
      </c>
      <c r="G20" s="156" t="s">
        <v>4</v>
      </c>
      <c r="H20" s="156" t="s">
        <v>4</v>
      </c>
      <c r="I20" s="156" t="s">
        <v>4</v>
      </c>
      <c r="J20" s="156" t="s">
        <v>4</v>
      </c>
      <c r="K20" s="156" t="s">
        <v>4</v>
      </c>
      <c r="L20" s="156" t="s">
        <v>4</v>
      </c>
      <c r="M20" s="164" t="s">
        <v>4</v>
      </c>
      <c r="N20" s="163" t="s">
        <v>4</v>
      </c>
      <c r="O20" s="164" t="s">
        <v>4</v>
      </c>
      <c r="P20" s="163" t="s">
        <v>4</v>
      </c>
      <c r="Q20" s="164" t="s">
        <v>4</v>
      </c>
      <c r="R20" s="163" t="s">
        <v>4</v>
      </c>
      <c r="S20" s="164" t="s">
        <v>4</v>
      </c>
      <c r="T20" s="164" t="s">
        <v>4</v>
      </c>
      <c r="U20" s="148" t="s">
        <v>4</v>
      </c>
      <c r="V20" s="148" t="s">
        <v>4</v>
      </c>
    </row>
    <row r="21" spans="1:22" ht="16" x14ac:dyDescent="0.25">
      <c r="A21" s="447" t="s">
        <v>4</v>
      </c>
      <c r="B21" s="148" t="s">
        <v>4</v>
      </c>
      <c r="C21" s="148" t="s">
        <v>4</v>
      </c>
      <c r="D21" s="164" t="s">
        <v>4</v>
      </c>
      <c r="E21" s="164" t="s">
        <v>4</v>
      </c>
      <c r="F21" s="164" t="s">
        <v>4</v>
      </c>
      <c r="G21" s="156" t="s">
        <v>4</v>
      </c>
      <c r="H21" s="156" t="s">
        <v>4</v>
      </c>
      <c r="I21" s="156" t="s">
        <v>4</v>
      </c>
      <c r="J21" s="156" t="s">
        <v>4</v>
      </c>
      <c r="K21" s="156" t="s">
        <v>4</v>
      </c>
      <c r="L21" s="156" t="s">
        <v>4</v>
      </c>
      <c r="M21" s="164" t="s">
        <v>4</v>
      </c>
      <c r="N21" s="163" t="s">
        <v>4</v>
      </c>
      <c r="O21" s="164" t="s">
        <v>4</v>
      </c>
      <c r="P21" s="163" t="s">
        <v>4</v>
      </c>
      <c r="Q21" s="164" t="s">
        <v>4</v>
      </c>
      <c r="R21" s="163" t="s">
        <v>4</v>
      </c>
      <c r="S21" s="164" t="s">
        <v>4</v>
      </c>
      <c r="T21" s="164" t="s">
        <v>4</v>
      </c>
      <c r="U21" s="148" t="s">
        <v>4</v>
      </c>
      <c r="V21" s="148" t="s">
        <v>4</v>
      </c>
    </row>
    <row r="22" spans="1:22" ht="16" x14ac:dyDescent="0.25">
      <c r="A22" s="447" t="s">
        <v>4</v>
      </c>
      <c r="B22" s="148" t="s">
        <v>4</v>
      </c>
      <c r="C22" s="148" t="s">
        <v>4</v>
      </c>
      <c r="D22" s="164" t="s">
        <v>4</v>
      </c>
      <c r="E22" s="164" t="s">
        <v>4</v>
      </c>
      <c r="F22" s="164" t="s">
        <v>4</v>
      </c>
      <c r="G22" s="156" t="s">
        <v>4</v>
      </c>
      <c r="H22" s="156" t="s">
        <v>4</v>
      </c>
      <c r="I22" s="156" t="s">
        <v>4</v>
      </c>
      <c r="J22" s="156" t="s">
        <v>4</v>
      </c>
      <c r="K22" s="156" t="s">
        <v>4</v>
      </c>
      <c r="L22" s="156" t="s">
        <v>4</v>
      </c>
      <c r="M22" s="164" t="s">
        <v>4</v>
      </c>
      <c r="N22" s="163" t="s">
        <v>4</v>
      </c>
      <c r="O22" s="164" t="s">
        <v>4</v>
      </c>
      <c r="P22" s="163" t="s">
        <v>4</v>
      </c>
      <c r="Q22" s="164" t="s">
        <v>4</v>
      </c>
      <c r="R22" s="163" t="s">
        <v>4</v>
      </c>
      <c r="S22" s="164" t="s">
        <v>4</v>
      </c>
      <c r="T22" s="164" t="s">
        <v>4</v>
      </c>
      <c r="U22" s="148" t="s">
        <v>4</v>
      </c>
      <c r="V22" s="148" t="s">
        <v>4</v>
      </c>
    </row>
    <row r="23" spans="1:22" ht="16" x14ac:dyDescent="0.25">
      <c r="A23" s="447" t="s">
        <v>4</v>
      </c>
      <c r="B23" s="148" t="s">
        <v>4</v>
      </c>
      <c r="C23" s="148" t="s">
        <v>4</v>
      </c>
      <c r="D23" s="164" t="s">
        <v>4</v>
      </c>
      <c r="E23" s="164" t="s">
        <v>4</v>
      </c>
      <c r="F23" s="164" t="s">
        <v>4</v>
      </c>
      <c r="G23" s="156" t="s">
        <v>4</v>
      </c>
      <c r="H23" s="156" t="s">
        <v>4</v>
      </c>
      <c r="I23" s="156" t="s">
        <v>4</v>
      </c>
      <c r="J23" s="156" t="s">
        <v>4</v>
      </c>
      <c r="K23" s="156" t="s">
        <v>4</v>
      </c>
      <c r="L23" s="156" t="s">
        <v>4</v>
      </c>
      <c r="M23" s="164" t="s">
        <v>4</v>
      </c>
      <c r="N23" s="163" t="s">
        <v>4</v>
      </c>
      <c r="O23" s="164" t="s">
        <v>4</v>
      </c>
      <c r="P23" s="163" t="s">
        <v>4</v>
      </c>
      <c r="Q23" s="164" t="s">
        <v>4</v>
      </c>
      <c r="R23" s="163" t="s">
        <v>4</v>
      </c>
      <c r="S23" s="164" t="s">
        <v>4</v>
      </c>
      <c r="T23" s="164" t="s">
        <v>4</v>
      </c>
      <c r="U23" s="148" t="s">
        <v>4</v>
      </c>
      <c r="V23" s="148" t="s">
        <v>4</v>
      </c>
    </row>
    <row r="24" spans="1:22" ht="16" x14ac:dyDescent="0.25">
      <c r="A24" s="447" t="s">
        <v>4</v>
      </c>
      <c r="B24" s="148" t="s">
        <v>4</v>
      </c>
      <c r="C24" s="148" t="s">
        <v>4</v>
      </c>
      <c r="D24" s="164" t="s">
        <v>4</v>
      </c>
      <c r="E24" s="164" t="s">
        <v>4</v>
      </c>
      <c r="F24" s="164" t="s">
        <v>4</v>
      </c>
      <c r="G24" s="156" t="s">
        <v>4</v>
      </c>
      <c r="H24" s="156" t="s">
        <v>4</v>
      </c>
      <c r="I24" s="156" t="s">
        <v>4</v>
      </c>
      <c r="J24" s="156" t="s">
        <v>4</v>
      </c>
      <c r="K24" s="156" t="s">
        <v>4</v>
      </c>
      <c r="L24" s="156" t="s">
        <v>4</v>
      </c>
      <c r="M24" s="164" t="s">
        <v>4</v>
      </c>
      <c r="N24" s="163" t="s">
        <v>4</v>
      </c>
      <c r="O24" s="164" t="s">
        <v>4</v>
      </c>
      <c r="P24" s="163" t="s">
        <v>4</v>
      </c>
      <c r="Q24" s="164" t="s">
        <v>4</v>
      </c>
      <c r="R24" s="163" t="s">
        <v>4</v>
      </c>
      <c r="S24" s="164" t="s">
        <v>4</v>
      </c>
      <c r="T24" s="164" t="s">
        <v>4</v>
      </c>
      <c r="U24" s="148" t="s">
        <v>4</v>
      </c>
      <c r="V24" s="148" t="s">
        <v>4</v>
      </c>
    </row>
    <row r="25" spans="1:22" ht="16" x14ac:dyDescent="0.25">
      <c r="A25" s="447" t="s">
        <v>4</v>
      </c>
      <c r="B25" s="148" t="s">
        <v>4</v>
      </c>
      <c r="C25" s="148" t="s">
        <v>4</v>
      </c>
      <c r="D25" s="164" t="s">
        <v>4</v>
      </c>
      <c r="E25" s="164" t="s">
        <v>4</v>
      </c>
      <c r="F25" s="164" t="s">
        <v>4</v>
      </c>
      <c r="G25" s="156" t="s">
        <v>4</v>
      </c>
      <c r="H25" s="156" t="s">
        <v>4</v>
      </c>
      <c r="I25" s="156" t="s">
        <v>4</v>
      </c>
      <c r="J25" s="156" t="s">
        <v>4</v>
      </c>
      <c r="K25" s="156" t="s">
        <v>4</v>
      </c>
      <c r="L25" s="156" t="s">
        <v>4</v>
      </c>
      <c r="M25" s="164" t="s">
        <v>4</v>
      </c>
      <c r="N25" s="163" t="s">
        <v>4</v>
      </c>
      <c r="O25" s="164" t="s">
        <v>4</v>
      </c>
      <c r="P25" s="163" t="s">
        <v>4</v>
      </c>
      <c r="Q25" s="164" t="s">
        <v>4</v>
      </c>
      <c r="R25" s="163" t="s">
        <v>4</v>
      </c>
      <c r="S25" s="164" t="s">
        <v>4</v>
      </c>
      <c r="T25" s="164" t="s">
        <v>4</v>
      </c>
      <c r="U25" s="148" t="s">
        <v>4</v>
      </c>
      <c r="V25" s="148" t="s">
        <v>4</v>
      </c>
    </row>
    <row r="26" spans="1:22" ht="16" x14ac:dyDescent="0.25">
      <c r="A26" s="447" t="s">
        <v>4</v>
      </c>
      <c r="B26" s="148" t="s">
        <v>4</v>
      </c>
      <c r="C26" s="148" t="s">
        <v>4</v>
      </c>
      <c r="D26" s="164" t="s">
        <v>4</v>
      </c>
      <c r="E26" s="164" t="s">
        <v>4</v>
      </c>
      <c r="F26" s="164" t="s">
        <v>4</v>
      </c>
      <c r="G26" s="156" t="s">
        <v>4</v>
      </c>
      <c r="H26" s="156" t="s">
        <v>4</v>
      </c>
      <c r="I26" s="156" t="s">
        <v>4</v>
      </c>
      <c r="J26" s="156" t="s">
        <v>4</v>
      </c>
      <c r="K26" s="156" t="s">
        <v>4</v>
      </c>
      <c r="L26" s="156" t="s">
        <v>4</v>
      </c>
      <c r="M26" s="164" t="s">
        <v>4</v>
      </c>
      <c r="N26" s="163" t="s">
        <v>4</v>
      </c>
      <c r="O26" s="164" t="s">
        <v>4</v>
      </c>
      <c r="P26" s="163" t="s">
        <v>4</v>
      </c>
      <c r="Q26" s="164" t="s">
        <v>4</v>
      </c>
      <c r="R26" s="163" t="s">
        <v>4</v>
      </c>
      <c r="S26" s="164" t="s">
        <v>4</v>
      </c>
      <c r="T26" s="164" t="s">
        <v>4</v>
      </c>
      <c r="U26" s="148" t="s">
        <v>4</v>
      </c>
      <c r="V26" s="148" t="s">
        <v>4</v>
      </c>
    </row>
    <row r="27" spans="1:22" ht="16" x14ac:dyDescent="0.25">
      <c r="A27" s="447" t="s">
        <v>4</v>
      </c>
      <c r="B27" s="148" t="s">
        <v>4</v>
      </c>
      <c r="C27" s="148" t="s">
        <v>4</v>
      </c>
      <c r="D27" s="164" t="s">
        <v>4</v>
      </c>
      <c r="E27" s="164" t="s">
        <v>4</v>
      </c>
      <c r="F27" s="164" t="s">
        <v>4</v>
      </c>
      <c r="G27" s="156" t="s">
        <v>4</v>
      </c>
      <c r="H27" s="156" t="s">
        <v>4</v>
      </c>
      <c r="I27" s="156" t="s">
        <v>4</v>
      </c>
      <c r="J27" s="156" t="s">
        <v>4</v>
      </c>
      <c r="K27" s="156" t="s">
        <v>4</v>
      </c>
      <c r="L27" s="156" t="s">
        <v>4</v>
      </c>
      <c r="M27" s="164" t="s">
        <v>4</v>
      </c>
      <c r="N27" s="163" t="s">
        <v>4</v>
      </c>
      <c r="O27" s="164" t="s">
        <v>4</v>
      </c>
      <c r="P27" s="163" t="s">
        <v>4</v>
      </c>
      <c r="Q27" s="164" t="s">
        <v>4</v>
      </c>
      <c r="R27" s="163" t="s">
        <v>4</v>
      </c>
      <c r="S27" s="164" t="s">
        <v>4</v>
      </c>
      <c r="T27" s="164" t="s">
        <v>4</v>
      </c>
      <c r="U27" s="148" t="s">
        <v>4</v>
      </c>
      <c r="V27" s="148" t="s">
        <v>4</v>
      </c>
    </row>
    <row r="28" spans="1:22" ht="16" x14ac:dyDescent="0.25">
      <c r="A28" s="447" t="s">
        <v>4</v>
      </c>
      <c r="B28" s="148" t="s">
        <v>4</v>
      </c>
      <c r="C28" s="148" t="s">
        <v>4</v>
      </c>
      <c r="D28" s="164" t="s">
        <v>4</v>
      </c>
      <c r="E28" s="164" t="s">
        <v>4</v>
      </c>
      <c r="F28" s="164" t="s">
        <v>4</v>
      </c>
      <c r="G28" s="156" t="s">
        <v>4</v>
      </c>
      <c r="H28" s="156" t="s">
        <v>4</v>
      </c>
      <c r="I28" s="156" t="s">
        <v>4</v>
      </c>
      <c r="J28" s="156" t="s">
        <v>4</v>
      </c>
      <c r="K28" s="156" t="s">
        <v>4</v>
      </c>
      <c r="L28" s="156" t="s">
        <v>4</v>
      </c>
      <c r="M28" s="164" t="s">
        <v>4</v>
      </c>
      <c r="N28" s="163" t="s">
        <v>4</v>
      </c>
      <c r="O28" s="164" t="s">
        <v>4</v>
      </c>
      <c r="P28" s="163" t="s">
        <v>4</v>
      </c>
      <c r="Q28" s="164" t="s">
        <v>4</v>
      </c>
      <c r="R28" s="163" t="s">
        <v>4</v>
      </c>
      <c r="S28" s="164" t="s">
        <v>4</v>
      </c>
      <c r="T28" s="164" t="s">
        <v>4</v>
      </c>
      <c r="U28" s="148" t="s">
        <v>4</v>
      </c>
      <c r="V28" s="148" t="s">
        <v>4</v>
      </c>
    </row>
    <row r="29" spans="1:22" ht="16" x14ac:dyDescent="0.25">
      <c r="A29" s="447" t="s">
        <v>4</v>
      </c>
      <c r="B29" s="148" t="s">
        <v>4</v>
      </c>
      <c r="C29" s="148" t="s">
        <v>4</v>
      </c>
      <c r="D29" s="164" t="s">
        <v>4</v>
      </c>
      <c r="E29" s="164" t="s">
        <v>4</v>
      </c>
      <c r="F29" s="164" t="s">
        <v>4</v>
      </c>
      <c r="G29" s="156" t="s">
        <v>4</v>
      </c>
      <c r="H29" s="156" t="s">
        <v>4</v>
      </c>
      <c r="I29" s="156" t="s">
        <v>4</v>
      </c>
      <c r="J29" s="156" t="s">
        <v>4</v>
      </c>
      <c r="K29" s="156" t="s">
        <v>4</v>
      </c>
      <c r="L29" s="156" t="s">
        <v>4</v>
      </c>
      <c r="M29" s="164" t="s">
        <v>4</v>
      </c>
      <c r="N29" s="163" t="s">
        <v>4</v>
      </c>
      <c r="O29" s="164" t="s">
        <v>4</v>
      </c>
      <c r="P29" s="163" t="s">
        <v>4</v>
      </c>
      <c r="Q29" s="164" t="s">
        <v>4</v>
      </c>
      <c r="R29" s="163" t="s">
        <v>4</v>
      </c>
      <c r="S29" s="164" t="s">
        <v>4</v>
      </c>
      <c r="T29" s="164" t="s">
        <v>4</v>
      </c>
      <c r="U29" s="148" t="s">
        <v>4</v>
      </c>
      <c r="V29" s="148" t="s">
        <v>4</v>
      </c>
    </row>
    <row r="30" spans="1:22" ht="16" x14ac:dyDescent="0.25">
      <c r="A30" s="447" t="s">
        <v>4</v>
      </c>
      <c r="B30" s="148" t="s">
        <v>4</v>
      </c>
      <c r="C30" s="148" t="s">
        <v>4</v>
      </c>
      <c r="D30" s="164" t="s">
        <v>4</v>
      </c>
      <c r="E30" s="164" t="s">
        <v>4</v>
      </c>
      <c r="F30" s="164" t="s">
        <v>4</v>
      </c>
      <c r="G30" s="156" t="s">
        <v>4</v>
      </c>
      <c r="H30" s="156" t="s">
        <v>4</v>
      </c>
      <c r="I30" s="156" t="s">
        <v>4</v>
      </c>
      <c r="J30" s="156" t="s">
        <v>4</v>
      </c>
      <c r="K30" s="156" t="s">
        <v>4</v>
      </c>
      <c r="L30" s="156" t="s">
        <v>4</v>
      </c>
      <c r="M30" s="164" t="s">
        <v>4</v>
      </c>
      <c r="N30" s="163" t="s">
        <v>4</v>
      </c>
      <c r="O30" s="164" t="s">
        <v>4</v>
      </c>
      <c r="P30" s="163" t="s">
        <v>4</v>
      </c>
      <c r="Q30" s="164" t="s">
        <v>4</v>
      </c>
      <c r="R30" s="163" t="s">
        <v>4</v>
      </c>
      <c r="S30" s="164" t="s">
        <v>4</v>
      </c>
      <c r="T30" s="164" t="s">
        <v>4</v>
      </c>
      <c r="U30" s="148" t="s">
        <v>4</v>
      </c>
      <c r="V30" s="148" t="s">
        <v>4</v>
      </c>
    </row>
    <row r="31" spans="1:22" ht="16" x14ac:dyDescent="0.25">
      <c r="A31" s="447" t="s">
        <v>4</v>
      </c>
      <c r="B31" s="148" t="s">
        <v>4</v>
      </c>
      <c r="C31" s="148" t="s">
        <v>4</v>
      </c>
      <c r="D31" s="164" t="s">
        <v>4</v>
      </c>
      <c r="E31" s="164" t="s">
        <v>4</v>
      </c>
      <c r="F31" s="164" t="s">
        <v>4</v>
      </c>
      <c r="G31" s="156" t="s">
        <v>4</v>
      </c>
      <c r="H31" s="156" t="s">
        <v>4</v>
      </c>
      <c r="I31" s="156" t="s">
        <v>4</v>
      </c>
      <c r="J31" s="156" t="s">
        <v>4</v>
      </c>
      <c r="K31" s="156" t="s">
        <v>4</v>
      </c>
      <c r="L31" s="156" t="s">
        <v>4</v>
      </c>
      <c r="M31" s="164" t="s">
        <v>4</v>
      </c>
      <c r="N31" s="163" t="s">
        <v>4</v>
      </c>
      <c r="O31" s="164" t="s">
        <v>4</v>
      </c>
      <c r="P31" s="163" t="s">
        <v>4</v>
      </c>
      <c r="Q31" s="164" t="s">
        <v>4</v>
      </c>
      <c r="R31" s="163" t="s">
        <v>4</v>
      </c>
      <c r="S31" s="164" t="s">
        <v>4</v>
      </c>
      <c r="T31" s="164" t="s">
        <v>4</v>
      </c>
      <c r="U31" s="148" t="s">
        <v>4</v>
      </c>
      <c r="V31" s="148" t="s">
        <v>4</v>
      </c>
    </row>
    <row r="32" spans="1:22" ht="16" x14ac:dyDescent="0.25">
      <c r="A32" s="447" t="s">
        <v>4</v>
      </c>
      <c r="B32" s="148" t="s">
        <v>4</v>
      </c>
      <c r="C32" s="148" t="s">
        <v>4</v>
      </c>
      <c r="D32" s="164" t="s">
        <v>4</v>
      </c>
      <c r="E32" s="164" t="s">
        <v>4</v>
      </c>
      <c r="F32" s="164" t="s">
        <v>4</v>
      </c>
      <c r="G32" s="156" t="s">
        <v>4</v>
      </c>
      <c r="H32" s="156" t="s">
        <v>4</v>
      </c>
      <c r="I32" s="156" t="s">
        <v>4</v>
      </c>
      <c r="J32" s="156" t="s">
        <v>4</v>
      </c>
      <c r="K32" s="156" t="s">
        <v>4</v>
      </c>
      <c r="L32" s="156" t="s">
        <v>4</v>
      </c>
      <c r="M32" s="164" t="s">
        <v>4</v>
      </c>
      <c r="N32" s="163" t="s">
        <v>4</v>
      </c>
      <c r="O32" s="164" t="s">
        <v>4</v>
      </c>
      <c r="P32" s="163" t="s">
        <v>4</v>
      </c>
      <c r="Q32" s="164" t="s">
        <v>4</v>
      </c>
      <c r="R32" s="163" t="s">
        <v>4</v>
      </c>
      <c r="S32" s="164" t="s">
        <v>4</v>
      </c>
      <c r="T32" s="164" t="s">
        <v>4</v>
      </c>
      <c r="U32" s="148" t="s">
        <v>4</v>
      </c>
      <c r="V32" s="148" t="s">
        <v>4</v>
      </c>
    </row>
    <row r="33" spans="1:22" ht="16" x14ac:dyDescent="0.25">
      <c r="A33" s="447" t="s">
        <v>4</v>
      </c>
      <c r="B33" s="148" t="s">
        <v>4</v>
      </c>
      <c r="C33" s="148" t="s">
        <v>4</v>
      </c>
      <c r="D33" s="164" t="s">
        <v>4</v>
      </c>
      <c r="E33" s="164" t="s">
        <v>4</v>
      </c>
      <c r="F33" s="164" t="s">
        <v>4</v>
      </c>
      <c r="G33" s="156" t="s">
        <v>4</v>
      </c>
      <c r="H33" s="156" t="s">
        <v>4</v>
      </c>
      <c r="I33" s="156" t="s">
        <v>4</v>
      </c>
      <c r="J33" s="156" t="s">
        <v>4</v>
      </c>
      <c r="K33" s="156" t="s">
        <v>4</v>
      </c>
      <c r="L33" s="156" t="s">
        <v>4</v>
      </c>
      <c r="M33" s="164" t="s">
        <v>4</v>
      </c>
      <c r="N33" s="163" t="s">
        <v>4</v>
      </c>
      <c r="O33" s="164" t="s">
        <v>4</v>
      </c>
      <c r="P33" s="163" t="s">
        <v>4</v>
      </c>
      <c r="Q33" s="164" t="s">
        <v>4</v>
      </c>
      <c r="R33" s="163" t="s">
        <v>4</v>
      </c>
      <c r="S33" s="164" t="s">
        <v>4</v>
      </c>
      <c r="T33" s="164" t="s">
        <v>4</v>
      </c>
      <c r="U33" s="148" t="s">
        <v>4</v>
      </c>
      <c r="V33" s="148" t="s">
        <v>4</v>
      </c>
    </row>
    <row r="34" spans="1:22" ht="16" x14ac:dyDescent="0.25">
      <c r="A34" s="447" t="s">
        <v>4</v>
      </c>
      <c r="B34" s="148" t="s">
        <v>4</v>
      </c>
      <c r="C34" s="148" t="s">
        <v>4</v>
      </c>
      <c r="D34" s="164" t="s">
        <v>4</v>
      </c>
      <c r="E34" s="164" t="s">
        <v>4</v>
      </c>
      <c r="F34" s="164" t="s">
        <v>4</v>
      </c>
      <c r="G34" s="156" t="s">
        <v>4</v>
      </c>
      <c r="H34" s="156" t="s">
        <v>4</v>
      </c>
      <c r="I34" s="156" t="s">
        <v>4</v>
      </c>
      <c r="J34" s="156" t="s">
        <v>4</v>
      </c>
      <c r="K34" s="156" t="s">
        <v>4</v>
      </c>
      <c r="L34" s="156" t="s">
        <v>4</v>
      </c>
      <c r="M34" s="164" t="s">
        <v>4</v>
      </c>
      <c r="N34" s="163" t="s">
        <v>4</v>
      </c>
      <c r="O34" s="164" t="s">
        <v>4</v>
      </c>
      <c r="P34" s="163" t="s">
        <v>4</v>
      </c>
      <c r="Q34" s="164" t="s">
        <v>4</v>
      </c>
      <c r="R34" s="163" t="s">
        <v>4</v>
      </c>
      <c r="S34" s="164" t="s">
        <v>4</v>
      </c>
      <c r="T34" s="164" t="s">
        <v>4</v>
      </c>
      <c r="U34" s="148" t="s">
        <v>4</v>
      </c>
      <c r="V34" s="148" t="s">
        <v>4</v>
      </c>
    </row>
    <row r="35" spans="1:22" ht="16" x14ac:dyDescent="0.25">
      <c r="A35" s="447" t="s">
        <v>4</v>
      </c>
      <c r="B35" s="148" t="s">
        <v>4</v>
      </c>
      <c r="C35" s="148" t="s">
        <v>4</v>
      </c>
      <c r="D35" s="164" t="s">
        <v>4</v>
      </c>
      <c r="E35" s="164" t="s">
        <v>4</v>
      </c>
      <c r="F35" s="164" t="s">
        <v>4</v>
      </c>
      <c r="G35" s="156" t="s">
        <v>4</v>
      </c>
      <c r="H35" s="156" t="s">
        <v>4</v>
      </c>
      <c r="I35" s="156" t="s">
        <v>4</v>
      </c>
      <c r="J35" s="156" t="s">
        <v>4</v>
      </c>
      <c r="K35" s="156" t="s">
        <v>4</v>
      </c>
      <c r="L35" s="156" t="s">
        <v>4</v>
      </c>
      <c r="M35" s="164" t="s">
        <v>4</v>
      </c>
      <c r="N35" s="163" t="s">
        <v>4</v>
      </c>
      <c r="O35" s="164" t="s">
        <v>4</v>
      </c>
      <c r="P35" s="163" t="s">
        <v>4</v>
      </c>
      <c r="Q35" s="164" t="s">
        <v>4</v>
      </c>
      <c r="R35" s="163" t="s">
        <v>4</v>
      </c>
      <c r="S35" s="164" t="s">
        <v>4</v>
      </c>
      <c r="T35" s="164" t="s">
        <v>4</v>
      </c>
      <c r="U35" s="148" t="s">
        <v>4</v>
      </c>
      <c r="V35" s="148" t="s">
        <v>4</v>
      </c>
    </row>
    <row r="36" spans="1:22" ht="16" x14ac:dyDescent="0.25">
      <c r="A36" s="447" t="s">
        <v>4</v>
      </c>
      <c r="B36" s="148" t="s">
        <v>4</v>
      </c>
      <c r="C36" s="148" t="s">
        <v>4</v>
      </c>
      <c r="D36" s="164" t="s">
        <v>4</v>
      </c>
      <c r="E36" s="164" t="s">
        <v>4</v>
      </c>
      <c r="F36" s="164" t="s">
        <v>4</v>
      </c>
      <c r="G36" s="156" t="s">
        <v>4</v>
      </c>
      <c r="H36" s="156" t="s">
        <v>4</v>
      </c>
      <c r="I36" s="156" t="s">
        <v>4</v>
      </c>
      <c r="J36" s="156" t="s">
        <v>4</v>
      </c>
      <c r="K36" s="156" t="s">
        <v>4</v>
      </c>
      <c r="L36" s="156" t="s">
        <v>4</v>
      </c>
      <c r="M36" s="164" t="s">
        <v>4</v>
      </c>
      <c r="N36" s="163" t="s">
        <v>4</v>
      </c>
      <c r="O36" s="164" t="s">
        <v>4</v>
      </c>
      <c r="P36" s="163" t="s">
        <v>4</v>
      </c>
      <c r="Q36" s="164" t="s">
        <v>4</v>
      </c>
      <c r="R36" s="163" t="s">
        <v>4</v>
      </c>
      <c r="S36" s="164" t="s">
        <v>4</v>
      </c>
      <c r="T36" s="164" t="s">
        <v>4</v>
      </c>
      <c r="U36" s="148" t="s">
        <v>4</v>
      </c>
      <c r="V36" s="148" t="s">
        <v>4</v>
      </c>
    </row>
    <row r="37" spans="1:22" ht="16" x14ac:dyDescent="0.25">
      <c r="A37" s="447" t="s">
        <v>4</v>
      </c>
      <c r="B37" s="148" t="s">
        <v>4</v>
      </c>
      <c r="C37" s="148" t="s">
        <v>4</v>
      </c>
      <c r="D37" s="164" t="s">
        <v>4</v>
      </c>
      <c r="E37" s="164" t="s">
        <v>4</v>
      </c>
      <c r="F37" s="164" t="s">
        <v>4</v>
      </c>
      <c r="G37" s="156" t="s">
        <v>4</v>
      </c>
      <c r="H37" s="156" t="s">
        <v>4</v>
      </c>
      <c r="I37" s="156" t="s">
        <v>4</v>
      </c>
      <c r="J37" s="156" t="s">
        <v>4</v>
      </c>
      <c r="K37" s="156" t="s">
        <v>4</v>
      </c>
      <c r="L37" s="156" t="s">
        <v>4</v>
      </c>
      <c r="M37" s="164" t="s">
        <v>4</v>
      </c>
      <c r="N37" s="163" t="s">
        <v>4</v>
      </c>
      <c r="O37" s="164" t="s">
        <v>4</v>
      </c>
      <c r="P37" s="163" t="s">
        <v>4</v>
      </c>
      <c r="Q37" s="164" t="s">
        <v>4</v>
      </c>
      <c r="R37" s="163" t="s">
        <v>4</v>
      </c>
      <c r="S37" s="164" t="s">
        <v>4</v>
      </c>
      <c r="T37" s="164" t="s">
        <v>4</v>
      </c>
      <c r="U37" s="148" t="s">
        <v>4</v>
      </c>
      <c r="V37" s="148" t="s">
        <v>4</v>
      </c>
    </row>
    <row r="38" spans="1:22" ht="16" x14ac:dyDescent="0.25">
      <c r="A38" s="447" t="s">
        <v>4</v>
      </c>
      <c r="B38" s="148" t="s">
        <v>4</v>
      </c>
      <c r="C38" s="148" t="s">
        <v>4</v>
      </c>
      <c r="D38" s="164" t="s">
        <v>4</v>
      </c>
      <c r="E38" s="164" t="s">
        <v>4</v>
      </c>
      <c r="F38" s="164" t="s">
        <v>4</v>
      </c>
      <c r="G38" s="156" t="s">
        <v>4</v>
      </c>
      <c r="H38" s="156" t="s">
        <v>4</v>
      </c>
      <c r="I38" s="156" t="s">
        <v>4</v>
      </c>
      <c r="J38" s="156" t="s">
        <v>4</v>
      </c>
      <c r="K38" s="156" t="s">
        <v>4</v>
      </c>
      <c r="L38" s="156" t="s">
        <v>4</v>
      </c>
      <c r="M38" s="164" t="s">
        <v>4</v>
      </c>
      <c r="N38" s="163" t="s">
        <v>4</v>
      </c>
      <c r="O38" s="164" t="s">
        <v>4</v>
      </c>
      <c r="P38" s="163" t="s">
        <v>4</v>
      </c>
      <c r="Q38" s="164" t="s">
        <v>4</v>
      </c>
      <c r="R38" s="163" t="s">
        <v>4</v>
      </c>
      <c r="S38" s="164" t="s">
        <v>4</v>
      </c>
      <c r="T38" s="164" t="s">
        <v>4</v>
      </c>
      <c r="U38" s="148" t="s">
        <v>4</v>
      </c>
      <c r="V38" s="148" t="s">
        <v>4</v>
      </c>
    </row>
    <row r="39" spans="1:22" ht="16" x14ac:dyDescent="0.25">
      <c r="A39" s="447" t="s">
        <v>4</v>
      </c>
      <c r="B39" s="148" t="s">
        <v>4</v>
      </c>
      <c r="C39" s="148" t="s">
        <v>4</v>
      </c>
      <c r="D39" s="164" t="s">
        <v>4</v>
      </c>
      <c r="E39" s="164" t="s">
        <v>4</v>
      </c>
      <c r="F39" s="164" t="s">
        <v>4</v>
      </c>
      <c r="G39" s="156" t="s">
        <v>4</v>
      </c>
      <c r="H39" s="156" t="s">
        <v>4</v>
      </c>
      <c r="I39" s="156" t="s">
        <v>4</v>
      </c>
      <c r="J39" s="156" t="s">
        <v>4</v>
      </c>
      <c r="K39" s="156" t="s">
        <v>4</v>
      </c>
      <c r="L39" s="156" t="s">
        <v>4</v>
      </c>
      <c r="M39" s="164" t="s">
        <v>4</v>
      </c>
      <c r="N39" s="163" t="s">
        <v>4</v>
      </c>
      <c r="O39" s="164" t="s">
        <v>4</v>
      </c>
      <c r="P39" s="163" t="s">
        <v>4</v>
      </c>
      <c r="Q39" s="164" t="s">
        <v>4</v>
      </c>
      <c r="R39" s="163" t="s">
        <v>4</v>
      </c>
      <c r="S39" s="164" t="s">
        <v>4</v>
      </c>
      <c r="T39" s="164" t="s">
        <v>4</v>
      </c>
      <c r="U39" s="148" t="s">
        <v>4</v>
      </c>
      <c r="V39" s="148" t="s">
        <v>4</v>
      </c>
    </row>
    <row r="40" spans="1:22" ht="16" x14ac:dyDescent="0.25">
      <c r="A40" s="447" t="s">
        <v>4</v>
      </c>
      <c r="B40" s="148" t="s">
        <v>4</v>
      </c>
      <c r="C40" s="148" t="s">
        <v>4</v>
      </c>
      <c r="D40" s="164" t="s">
        <v>4</v>
      </c>
      <c r="E40" s="164" t="s">
        <v>4</v>
      </c>
      <c r="F40" s="164" t="s">
        <v>4</v>
      </c>
      <c r="G40" s="156" t="s">
        <v>4</v>
      </c>
      <c r="H40" s="156" t="s">
        <v>4</v>
      </c>
      <c r="I40" s="156" t="s">
        <v>4</v>
      </c>
      <c r="J40" s="156" t="s">
        <v>4</v>
      </c>
      <c r="K40" s="156" t="s">
        <v>4</v>
      </c>
      <c r="L40" s="156" t="s">
        <v>4</v>
      </c>
      <c r="M40" s="164" t="s">
        <v>4</v>
      </c>
      <c r="N40" s="163" t="s">
        <v>4</v>
      </c>
      <c r="O40" s="164" t="s">
        <v>4</v>
      </c>
      <c r="P40" s="163" t="s">
        <v>4</v>
      </c>
      <c r="Q40" s="164" t="s">
        <v>4</v>
      </c>
      <c r="R40" s="163" t="s">
        <v>4</v>
      </c>
      <c r="S40" s="164" t="s">
        <v>4</v>
      </c>
      <c r="T40" s="164" t="s">
        <v>4</v>
      </c>
      <c r="U40" s="148" t="s">
        <v>4</v>
      </c>
      <c r="V40" s="148" t="s">
        <v>4</v>
      </c>
    </row>
  </sheetData>
  <autoFilter ref="A2:V16" xr:uid="{DA0E989D-C586-40CB-A6EA-EDC32D3CA138}"/>
  <mergeCells count="5">
    <mergeCell ref="F1:K1"/>
    <mergeCell ref="L1:Q1"/>
    <mergeCell ref="R1:S1"/>
    <mergeCell ref="F3:K3"/>
    <mergeCell ref="F4:K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5117-2372-47C6-8757-724C87E00B93}">
  <dimension ref="A1:F12"/>
  <sheetViews>
    <sheetView zoomScale="180" zoomScaleNormal="180" workbookViewId="0">
      <selection activeCell="D11" sqref="D11"/>
    </sheetView>
  </sheetViews>
  <sheetFormatPr baseColWidth="10" defaultColWidth="8.83203125" defaultRowHeight="15" x14ac:dyDescent="0.2"/>
  <cols>
    <col min="1" max="1" width="4.5" style="8" customWidth="1"/>
    <col min="2" max="2" width="9.83203125" bestFit="1" customWidth="1"/>
    <col min="3" max="3" width="60.5" customWidth="1"/>
    <col min="4" max="4" width="16.1640625" customWidth="1"/>
    <col min="5" max="5" width="18.5" customWidth="1"/>
    <col min="6" max="6" width="51" customWidth="1"/>
  </cols>
  <sheetData>
    <row r="1" spans="1:6" x14ac:dyDescent="0.2">
      <c r="A1" s="41" t="s">
        <v>61</v>
      </c>
      <c r="B1" s="41" t="s">
        <v>285</v>
      </c>
      <c r="C1" s="41" t="s">
        <v>286</v>
      </c>
      <c r="D1" s="41" t="s">
        <v>287</v>
      </c>
      <c r="E1" s="41" t="s">
        <v>288</v>
      </c>
      <c r="F1" s="41" t="s">
        <v>438</v>
      </c>
    </row>
    <row r="2" spans="1:6" x14ac:dyDescent="0.2">
      <c r="A2" s="10">
        <v>1</v>
      </c>
      <c r="B2" s="33">
        <v>45868</v>
      </c>
      <c r="C2" s="9" t="s">
        <v>439</v>
      </c>
      <c r="D2" s="9" t="s">
        <v>291</v>
      </c>
      <c r="E2" s="32" t="s">
        <v>292</v>
      </c>
      <c r="F2" s="9"/>
    </row>
    <row r="3" spans="1:6" x14ac:dyDescent="0.2">
      <c r="A3" s="10">
        <v>2</v>
      </c>
      <c r="B3" s="33">
        <v>45868</v>
      </c>
      <c r="C3" s="9" t="s">
        <v>439</v>
      </c>
      <c r="D3" s="9" t="s">
        <v>294</v>
      </c>
      <c r="E3" s="32" t="s">
        <v>292</v>
      </c>
      <c r="F3" s="9"/>
    </row>
    <row r="4" spans="1:6" x14ac:dyDescent="0.2">
      <c r="A4" s="38">
        <v>3</v>
      </c>
      <c r="B4" s="50">
        <v>45868</v>
      </c>
      <c r="C4" s="23" t="s">
        <v>440</v>
      </c>
      <c r="D4" s="23" t="s">
        <v>441</v>
      </c>
      <c r="E4" s="51" t="s">
        <v>292</v>
      </c>
      <c r="F4" s="23" t="s">
        <v>442</v>
      </c>
    </row>
    <row r="5" spans="1:6" x14ac:dyDescent="0.2">
      <c r="A5" s="2">
        <v>4</v>
      </c>
      <c r="B5" s="15">
        <v>45869</v>
      </c>
      <c r="C5" s="1" t="s">
        <v>443</v>
      </c>
      <c r="D5" s="1" t="s">
        <v>444</v>
      </c>
      <c r="E5" s="14" t="s">
        <v>445</v>
      </c>
      <c r="F5" s="1"/>
    </row>
    <row r="6" spans="1:6" x14ac:dyDescent="0.2">
      <c r="A6" s="2">
        <v>5</v>
      </c>
      <c r="B6" s="15">
        <v>45869</v>
      </c>
      <c r="C6" s="1" t="s">
        <v>446</v>
      </c>
      <c r="D6" s="1" t="s">
        <v>444</v>
      </c>
      <c r="E6" s="14" t="s">
        <v>445</v>
      </c>
      <c r="F6" s="1"/>
    </row>
    <row r="7" spans="1:6" x14ac:dyDescent="0.2">
      <c r="A7" s="2">
        <v>6</v>
      </c>
      <c r="B7" s="15">
        <v>45881</v>
      </c>
      <c r="C7" s="1" t="s">
        <v>447</v>
      </c>
      <c r="D7" s="1" t="s">
        <v>444</v>
      </c>
      <c r="E7" s="14" t="s">
        <v>448</v>
      </c>
      <c r="F7" s="1"/>
    </row>
    <row r="8" spans="1:6" x14ac:dyDescent="0.2">
      <c r="A8" s="2">
        <v>7</v>
      </c>
      <c r="B8" s="15">
        <v>45888</v>
      </c>
      <c r="C8" s="1" t="s">
        <v>449</v>
      </c>
      <c r="D8" s="1" t="s">
        <v>444</v>
      </c>
      <c r="E8" s="14" t="s">
        <v>450</v>
      </c>
      <c r="F8" s="1"/>
    </row>
    <row r="9" spans="1:6" ht="48" x14ac:dyDescent="0.2">
      <c r="A9" s="2">
        <v>8</v>
      </c>
      <c r="B9" s="15">
        <v>45905</v>
      </c>
      <c r="C9" s="46" t="s">
        <v>451</v>
      </c>
      <c r="D9" s="1" t="s">
        <v>452</v>
      </c>
      <c r="E9" s="14" t="s">
        <v>77</v>
      </c>
      <c r="F9" s="1"/>
    </row>
    <row r="10" spans="1:6" x14ac:dyDescent="0.2">
      <c r="A10" s="2">
        <v>9</v>
      </c>
      <c r="B10" s="15">
        <v>45960</v>
      </c>
      <c r="C10" s="1" t="s">
        <v>453</v>
      </c>
      <c r="D10" s="1" t="s">
        <v>454</v>
      </c>
      <c r="E10" s="14" t="s">
        <v>67</v>
      </c>
      <c r="F10" s="1" t="s">
        <v>455</v>
      </c>
    </row>
    <row r="11" spans="1:6" x14ac:dyDescent="0.2">
      <c r="A11" s="2"/>
      <c r="B11" s="15"/>
      <c r="C11" s="1"/>
      <c r="D11" s="1"/>
      <c r="E11" s="14"/>
      <c r="F11" s="1"/>
    </row>
    <row r="12" spans="1:6" x14ac:dyDescent="0.2">
      <c r="A12" s="2"/>
      <c r="B12" s="15"/>
      <c r="C12" s="1"/>
      <c r="D12" s="1"/>
      <c r="E12" s="14"/>
      <c r="F12"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ED6A-EF15-4712-8FC6-DC94AB6979A8}">
  <dimension ref="A1:L89"/>
  <sheetViews>
    <sheetView zoomScale="130" zoomScaleNormal="130" workbookViewId="0">
      <pane ySplit="1" topLeftCell="A61" activePane="bottomLeft" state="frozen"/>
      <selection pane="bottomLeft" activeCell="G61" sqref="G61"/>
    </sheetView>
  </sheetViews>
  <sheetFormatPr baseColWidth="10" defaultColWidth="8.83203125" defaultRowHeight="15" customHeight="1" x14ac:dyDescent="0.2"/>
  <cols>
    <col min="1" max="1" width="13.5" customWidth="1"/>
    <col min="2" max="2" width="16.5" bestFit="1" customWidth="1"/>
    <col min="3" max="3" width="46" customWidth="1"/>
    <col min="4" max="4" width="18.5" customWidth="1"/>
    <col min="5" max="5" width="115.5" style="8" customWidth="1"/>
    <col min="6" max="6" width="16.5" style="8" customWidth="1"/>
    <col min="7" max="7" width="31.5" customWidth="1"/>
    <col min="8" max="8" width="17.5" customWidth="1"/>
    <col min="9" max="9" width="17.1640625" customWidth="1"/>
    <col min="10" max="10" width="18.5" customWidth="1"/>
    <col min="11" max="11" width="66.83203125" customWidth="1"/>
    <col min="12" max="12" width="54.5" customWidth="1"/>
  </cols>
  <sheetData>
    <row r="1" spans="1:12" x14ac:dyDescent="0.2">
      <c r="A1" s="4" t="s">
        <v>456</v>
      </c>
      <c r="B1" s="4" t="s">
        <v>457</v>
      </c>
      <c r="C1" s="4" t="s">
        <v>458</v>
      </c>
      <c r="D1" s="4" t="s">
        <v>459</v>
      </c>
      <c r="E1" s="4" t="s">
        <v>460</v>
      </c>
      <c r="F1" s="4" t="s">
        <v>287</v>
      </c>
      <c r="G1" s="4" t="s">
        <v>298</v>
      </c>
      <c r="H1" s="4" t="s">
        <v>461</v>
      </c>
      <c r="I1" s="4" t="s">
        <v>462</v>
      </c>
      <c r="J1" s="4" t="s">
        <v>463</v>
      </c>
      <c r="K1" s="4" t="s">
        <v>32</v>
      </c>
      <c r="L1" s="4" t="s">
        <v>464</v>
      </c>
    </row>
    <row r="2" spans="1:12" x14ac:dyDescent="0.2">
      <c r="A2" s="3">
        <v>45859</v>
      </c>
      <c r="B2" s="2" t="s">
        <v>465</v>
      </c>
      <c r="C2" s="2" t="s">
        <v>466</v>
      </c>
      <c r="D2" s="2" t="s">
        <v>467</v>
      </c>
      <c r="E2" s="2" t="s">
        <v>468</v>
      </c>
      <c r="F2" s="2" t="s">
        <v>469</v>
      </c>
      <c r="G2" s="2" t="s">
        <v>470</v>
      </c>
      <c r="H2" s="2" t="s">
        <v>471</v>
      </c>
      <c r="I2" s="2" t="s">
        <v>472</v>
      </c>
      <c r="J2" s="20">
        <v>45860</v>
      </c>
      <c r="K2" s="2"/>
      <c r="L2" s="2"/>
    </row>
    <row r="3" spans="1:12" x14ac:dyDescent="0.2">
      <c r="A3" s="3">
        <v>45859</v>
      </c>
      <c r="B3" s="2" t="s">
        <v>465</v>
      </c>
      <c r="C3" s="2" t="s">
        <v>473</v>
      </c>
      <c r="D3" s="2" t="s">
        <v>467</v>
      </c>
      <c r="E3" s="2" t="s">
        <v>468</v>
      </c>
      <c r="F3" s="2" t="s">
        <v>474</v>
      </c>
      <c r="G3" s="2" t="s">
        <v>470</v>
      </c>
      <c r="H3" s="2"/>
      <c r="I3" s="2" t="s">
        <v>472</v>
      </c>
      <c r="J3" s="20">
        <v>45860</v>
      </c>
      <c r="K3" s="2"/>
      <c r="L3" s="2"/>
    </row>
    <row r="4" spans="1:12" x14ac:dyDescent="0.2">
      <c r="A4" s="3">
        <v>45859</v>
      </c>
      <c r="B4" s="2" t="s">
        <v>465</v>
      </c>
      <c r="C4" s="2" t="s">
        <v>473</v>
      </c>
      <c r="D4" s="2" t="s">
        <v>467</v>
      </c>
      <c r="E4" s="2" t="s">
        <v>475</v>
      </c>
      <c r="F4" s="2" t="s">
        <v>476</v>
      </c>
      <c r="G4" s="2" t="s">
        <v>470</v>
      </c>
      <c r="H4" s="2"/>
      <c r="I4" s="2" t="s">
        <v>472</v>
      </c>
      <c r="J4" s="20">
        <v>45860</v>
      </c>
      <c r="K4" s="2"/>
      <c r="L4" s="2"/>
    </row>
    <row r="5" spans="1:12" x14ac:dyDescent="0.2">
      <c r="A5" s="3">
        <v>45859</v>
      </c>
      <c r="B5" s="2" t="s">
        <v>465</v>
      </c>
      <c r="C5" s="2" t="s">
        <v>473</v>
      </c>
      <c r="D5" s="2" t="s">
        <v>467</v>
      </c>
      <c r="E5" s="2" t="s">
        <v>475</v>
      </c>
      <c r="F5" s="2" t="s">
        <v>157</v>
      </c>
      <c r="G5" s="2" t="s">
        <v>470</v>
      </c>
      <c r="H5" s="2"/>
      <c r="I5" s="2" t="s">
        <v>472</v>
      </c>
      <c r="J5" s="20">
        <v>45860</v>
      </c>
      <c r="K5" s="2"/>
      <c r="L5" s="2"/>
    </row>
    <row r="6" spans="1:12" x14ac:dyDescent="0.2">
      <c r="A6" s="3">
        <v>45859</v>
      </c>
      <c r="B6" s="2" t="s">
        <v>465</v>
      </c>
      <c r="C6" s="2" t="s">
        <v>473</v>
      </c>
      <c r="D6" s="2" t="s">
        <v>467</v>
      </c>
      <c r="E6" s="2" t="s">
        <v>475</v>
      </c>
      <c r="F6" s="8" t="s">
        <v>477</v>
      </c>
      <c r="G6" s="2" t="s">
        <v>470</v>
      </c>
      <c r="H6" s="2"/>
      <c r="I6" s="2" t="s">
        <v>472</v>
      </c>
      <c r="J6" s="20">
        <v>45860</v>
      </c>
      <c r="K6" s="2"/>
      <c r="L6" s="2"/>
    </row>
    <row r="7" spans="1:12" x14ac:dyDescent="0.2">
      <c r="A7" s="3">
        <v>45859</v>
      </c>
      <c r="B7" s="2" t="s">
        <v>465</v>
      </c>
      <c r="C7" s="2" t="s">
        <v>473</v>
      </c>
      <c r="D7" s="2" t="s">
        <v>467</v>
      </c>
      <c r="E7" s="5" t="s">
        <v>478</v>
      </c>
      <c r="F7" s="10" t="s">
        <v>479</v>
      </c>
      <c r="G7" s="6" t="s">
        <v>470</v>
      </c>
      <c r="H7" s="6"/>
      <c r="I7" s="2" t="s">
        <v>472</v>
      </c>
      <c r="J7" s="20">
        <v>45860</v>
      </c>
      <c r="K7" s="2"/>
      <c r="L7" s="2"/>
    </row>
    <row r="8" spans="1:12" x14ac:dyDescent="0.2">
      <c r="A8" s="3">
        <v>45859</v>
      </c>
      <c r="B8" s="2" t="s">
        <v>465</v>
      </c>
      <c r="C8" s="2" t="s">
        <v>473</v>
      </c>
      <c r="D8" s="2" t="s">
        <v>467</v>
      </c>
      <c r="E8" s="5" t="s">
        <v>478</v>
      </c>
      <c r="F8" s="10" t="s">
        <v>480</v>
      </c>
      <c r="G8" s="6" t="s">
        <v>470</v>
      </c>
      <c r="H8" s="6"/>
      <c r="I8" s="2" t="s">
        <v>472</v>
      </c>
      <c r="J8" s="20">
        <v>45860</v>
      </c>
      <c r="K8" s="2"/>
      <c r="L8" s="2"/>
    </row>
    <row r="9" spans="1:12" x14ac:dyDescent="0.2">
      <c r="A9" s="3">
        <v>45859</v>
      </c>
      <c r="B9" s="2" t="s">
        <v>465</v>
      </c>
      <c r="C9" s="2" t="s">
        <v>473</v>
      </c>
      <c r="D9" s="2" t="s">
        <v>467</v>
      </c>
      <c r="E9" s="5" t="s">
        <v>408</v>
      </c>
      <c r="F9" s="10" t="s">
        <v>481</v>
      </c>
      <c r="G9" s="6" t="s">
        <v>470</v>
      </c>
      <c r="H9" s="6"/>
      <c r="I9" s="2" t="s">
        <v>472</v>
      </c>
      <c r="J9" s="20">
        <v>45860</v>
      </c>
      <c r="K9" s="2"/>
      <c r="L9" s="2"/>
    </row>
    <row r="10" spans="1:12" x14ac:dyDescent="0.2">
      <c r="A10" s="3">
        <v>45859</v>
      </c>
      <c r="B10" s="2" t="s">
        <v>465</v>
      </c>
      <c r="C10" s="2" t="s">
        <v>473</v>
      </c>
      <c r="D10" s="2" t="s">
        <v>467</v>
      </c>
      <c r="E10" s="2" t="s">
        <v>482</v>
      </c>
      <c r="F10" s="7" t="s">
        <v>483</v>
      </c>
      <c r="G10" s="2" t="s">
        <v>470</v>
      </c>
      <c r="H10" s="2"/>
      <c r="I10" s="2" t="s">
        <v>472</v>
      </c>
      <c r="J10" s="20">
        <v>45860</v>
      </c>
      <c r="K10" s="1"/>
      <c r="L10" s="1"/>
    </row>
    <row r="11" spans="1:12" x14ac:dyDescent="0.2">
      <c r="A11" s="3">
        <v>45859</v>
      </c>
      <c r="B11" s="2" t="s">
        <v>465</v>
      </c>
      <c r="C11" s="2" t="s">
        <v>473</v>
      </c>
      <c r="D11" s="2" t="s">
        <v>467</v>
      </c>
      <c r="E11" s="2" t="s">
        <v>484</v>
      </c>
      <c r="F11" s="2" t="s">
        <v>465</v>
      </c>
      <c r="G11" s="2" t="s">
        <v>470</v>
      </c>
      <c r="H11" s="2"/>
      <c r="I11" s="2" t="s">
        <v>472</v>
      </c>
      <c r="J11" s="20">
        <v>45860</v>
      </c>
      <c r="K11" s="1"/>
      <c r="L11" s="1"/>
    </row>
    <row r="12" spans="1:12" x14ac:dyDescent="0.2">
      <c r="A12" s="3">
        <v>45859</v>
      </c>
      <c r="B12" s="2" t="s">
        <v>465</v>
      </c>
      <c r="C12" s="2" t="s">
        <v>485</v>
      </c>
      <c r="D12" s="2" t="s">
        <v>486</v>
      </c>
      <c r="E12" s="2" t="s">
        <v>487</v>
      </c>
      <c r="F12" s="2" t="s">
        <v>469</v>
      </c>
      <c r="G12" s="2" t="s">
        <v>470</v>
      </c>
      <c r="H12" s="2"/>
      <c r="I12" s="13" t="s">
        <v>488</v>
      </c>
      <c r="J12" s="1"/>
      <c r="K12" s="1" t="s">
        <v>489</v>
      </c>
      <c r="L12" s="1"/>
    </row>
    <row r="13" spans="1:12" x14ac:dyDescent="0.2">
      <c r="A13" s="3">
        <v>45859</v>
      </c>
      <c r="B13" s="2" t="s">
        <v>465</v>
      </c>
      <c r="C13" s="2" t="s">
        <v>485</v>
      </c>
      <c r="D13" s="2" t="s">
        <v>486</v>
      </c>
      <c r="E13" s="2" t="s">
        <v>487</v>
      </c>
      <c r="F13" s="12" t="s">
        <v>474</v>
      </c>
      <c r="G13" s="2" t="s">
        <v>470</v>
      </c>
      <c r="H13" s="2"/>
      <c r="I13" s="13" t="s">
        <v>488</v>
      </c>
      <c r="J13" s="11"/>
      <c r="K13" s="1" t="s">
        <v>489</v>
      </c>
      <c r="L13" s="1"/>
    </row>
    <row r="14" spans="1:12" x14ac:dyDescent="0.2">
      <c r="A14" s="3">
        <v>45859</v>
      </c>
      <c r="B14" s="2" t="s">
        <v>465</v>
      </c>
      <c r="C14" s="2" t="s">
        <v>485</v>
      </c>
      <c r="D14" s="5" t="s">
        <v>486</v>
      </c>
      <c r="E14" s="2" t="s">
        <v>487</v>
      </c>
      <c r="F14" s="10" t="s">
        <v>476</v>
      </c>
      <c r="G14" s="2" t="s">
        <v>470</v>
      </c>
      <c r="H14" s="2"/>
      <c r="I14" s="13" t="s">
        <v>488</v>
      </c>
      <c r="J14" s="9"/>
      <c r="K14" s="1" t="s">
        <v>489</v>
      </c>
      <c r="L14" s="1"/>
    </row>
    <row r="15" spans="1:12" x14ac:dyDescent="0.2">
      <c r="A15" s="3">
        <v>45859</v>
      </c>
      <c r="B15" s="2" t="s">
        <v>465</v>
      </c>
      <c r="C15" s="2" t="s">
        <v>485</v>
      </c>
      <c r="D15" s="5" t="s">
        <v>486</v>
      </c>
      <c r="E15" s="2" t="s">
        <v>487</v>
      </c>
      <c r="F15" s="10" t="s">
        <v>157</v>
      </c>
      <c r="G15" s="2" t="s">
        <v>470</v>
      </c>
      <c r="H15" s="2"/>
      <c r="I15" s="13" t="s">
        <v>488</v>
      </c>
      <c r="J15" s="9"/>
      <c r="K15" s="1" t="s">
        <v>489</v>
      </c>
      <c r="L15" s="1"/>
    </row>
    <row r="16" spans="1:12" x14ac:dyDescent="0.2">
      <c r="A16" s="3">
        <v>45859</v>
      </c>
      <c r="B16" s="2" t="s">
        <v>465</v>
      </c>
      <c r="C16" s="2" t="s">
        <v>485</v>
      </c>
      <c r="D16" s="5" t="s">
        <v>486</v>
      </c>
      <c r="E16" s="2" t="s">
        <v>487</v>
      </c>
      <c r="F16" s="10" t="s">
        <v>477</v>
      </c>
      <c r="G16" s="2" t="s">
        <v>470</v>
      </c>
      <c r="H16" s="2"/>
      <c r="I16" s="13" t="s">
        <v>488</v>
      </c>
      <c r="J16" s="9"/>
      <c r="K16" s="1" t="s">
        <v>489</v>
      </c>
      <c r="L16" s="1"/>
    </row>
    <row r="17" spans="1:12" x14ac:dyDescent="0.2">
      <c r="A17" s="3">
        <v>45859</v>
      </c>
      <c r="B17" s="2" t="s">
        <v>465</v>
      </c>
      <c r="C17" s="2" t="s">
        <v>485</v>
      </c>
      <c r="D17" s="5" t="s">
        <v>486</v>
      </c>
      <c r="E17" s="2" t="s">
        <v>487</v>
      </c>
      <c r="F17" s="10" t="s">
        <v>479</v>
      </c>
      <c r="G17" s="2" t="s">
        <v>470</v>
      </c>
      <c r="H17" s="2"/>
      <c r="I17" s="13" t="s">
        <v>488</v>
      </c>
      <c r="J17" s="9"/>
      <c r="K17" s="1" t="s">
        <v>489</v>
      </c>
      <c r="L17" s="1"/>
    </row>
    <row r="18" spans="1:12" x14ac:dyDescent="0.2">
      <c r="A18" s="3">
        <v>45859</v>
      </c>
      <c r="B18" s="2" t="s">
        <v>465</v>
      </c>
      <c r="C18" s="2" t="s">
        <v>485</v>
      </c>
      <c r="D18" s="2" t="s">
        <v>486</v>
      </c>
      <c r="E18" s="5" t="s">
        <v>487</v>
      </c>
      <c r="F18" s="10" t="s">
        <v>480</v>
      </c>
      <c r="G18" s="6" t="s">
        <v>470</v>
      </c>
      <c r="H18" s="6"/>
      <c r="I18" s="13" t="s">
        <v>488</v>
      </c>
      <c r="J18" s="2"/>
      <c r="K18" s="1" t="s">
        <v>489</v>
      </c>
      <c r="L18" s="1"/>
    </row>
    <row r="19" spans="1:12" x14ac:dyDescent="0.2">
      <c r="A19" s="3">
        <v>45859</v>
      </c>
      <c r="B19" s="2" t="s">
        <v>465</v>
      </c>
      <c r="C19" s="2" t="s">
        <v>490</v>
      </c>
      <c r="D19" s="2" t="s">
        <v>467</v>
      </c>
      <c r="E19" s="2" t="s">
        <v>487</v>
      </c>
      <c r="F19" s="7" t="s">
        <v>481</v>
      </c>
      <c r="G19" s="2" t="s">
        <v>470</v>
      </c>
      <c r="H19" s="2"/>
      <c r="I19" s="13" t="s">
        <v>488</v>
      </c>
      <c r="J19" s="1"/>
      <c r="K19" s="1" t="s">
        <v>489</v>
      </c>
      <c r="L19" s="1"/>
    </row>
    <row r="20" spans="1:12" x14ac:dyDescent="0.2">
      <c r="A20" s="3">
        <v>45859</v>
      </c>
      <c r="B20" s="2" t="s">
        <v>465</v>
      </c>
      <c r="C20" s="2" t="s">
        <v>490</v>
      </c>
      <c r="D20" s="2" t="s">
        <v>467</v>
      </c>
      <c r="E20" s="2" t="s">
        <v>487</v>
      </c>
      <c r="F20" s="2" t="s">
        <v>483</v>
      </c>
      <c r="G20" s="2" t="s">
        <v>470</v>
      </c>
      <c r="H20" s="2"/>
      <c r="I20" s="13" t="s">
        <v>488</v>
      </c>
      <c r="J20" s="1"/>
      <c r="K20" s="1" t="s">
        <v>489</v>
      </c>
      <c r="L20" s="1"/>
    </row>
    <row r="21" spans="1:12" x14ac:dyDescent="0.2">
      <c r="A21" s="3">
        <v>45859</v>
      </c>
      <c r="B21" s="2" t="s">
        <v>465</v>
      </c>
      <c r="C21" s="2" t="s">
        <v>490</v>
      </c>
      <c r="D21" s="2" t="s">
        <v>467</v>
      </c>
      <c r="E21" s="2" t="s">
        <v>487</v>
      </c>
      <c r="F21" s="2" t="s">
        <v>465</v>
      </c>
      <c r="G21" s="2" t="s">
        <v>470</v>
      </c>
      <c r="H21" s="2"/>
      <c r="I21" s="13" t="s">
        <v>488</v>
      </c>
      <c r="J21" s="1"/>
      <c r="K21" s="1" t="s">
        <v>489</v>
      </c>
      <c r="L21" s="1"/>
    </row>
    <row r="22" spans="1:12" x14ac:dyDescent="0.2">
      <c r="A22" s="3">
        <v>45859</v>
      </c>
      <c r="B22" s="2" t="s">
        <v>465</v>
      </c>
      <c r="C22" s="2" t="s">
        <v>490</v>
      </c>
      <c r="D22" s="2" t="s">
        <v>486</v>
      </c>
      <c r="E22" s="2" t="s">
        <v>487</v>
      </c>
      <c r="F22" s="12" t="s">
        <v>491</v>
      </c>
      <c r="G22" s="2" t="s">
        <v>470</v>
      </c>
      <c r="H22" s="2"/>
      <c r="I22" s="13" t="s">
        <v>488</v>
      </c>
      <c r="J22" s="11"/>
      <c r="K22" s="1" t="s">
        <v>489</v>
      </c>
      <c r="L22" s="1"/>
    </row>
    <row r="23" spans="1:12" x14ac:dyDescent="0.2">
      <c r="A23" s="3">
        <v>45859</v>
      </c>
      <c r="B23" s="2" t="s">
        <v>465</v>
      </c>
      <c r="C23" s="2" t="s">
        <v>473</v>
      </c>
      <c r="D23" s="5" t="s">
        <v>486</v>
      </c>
      <c r="E23" s="2" t="s">
        <v>492</v>
      </c>
      <c r="F23" s="10" t="s">
        <v>493</v>
      </c>
      <c r="G23" s="2" t="s">
        <v>470</v>
      </c>
      <c r="H23" s="6"/>
      <c r="I23" s="2" t="s">
        <v>472</v>
      </c>
      <c r="J23" s="20">
        <v>45860</v>
      </c>
      <c r="K23" s="1"/>
      <c r="L23" s="1"/>
    </row>
    <row r="24" spans="1:12" x14ac:dyDescent="0.2">
      <c r="A24" s="3">
        <v>45859</v>
      </c>
      <c r="B24" s="2" t="s">
        <v>465</v>
      </c>
      <c r="C24" s="2" t="s">
        <v>473</v>
      </c>
      <c r="D24" s="5" t="s">
        <v>467</v>
      </c>
      <c r="E24" s="2" t="s">
        <v>494</v>
      </c>
      <c r="F24" s="10" t="s">
        <v>495</v>
      </c>
      <c r="G24" s="2" t="s">
        <v>470</v>
      </c>
      <c r="H24" s="6"/>
      <c r="I24" s="2" t="s">
        <v>472</v>
      </c>
      <c r="J24" s="20">
        <v>45860</v>
      </c>
      <c r="K24" s="9" t="s">
        <v>496</v>
      </c>
      <c r="L24" s="9"/>
    </row>
    <row r="25" spans="1:12" x14ac:dyDescent="0.2">
      <c r="A25" s="3">
        <v>45859</v>
      </c>
      <c r="B25" s="2" t="s">
        <v>465</v>
      </c>
      <c r="C25" s="2" t="s">
        <v>473</v>
      </c>
      <c r="D25" s="5" t="s">
        <v>467</v>
      </c>
      <c r="E25" s="2" t="s">
        <v>497</v>
      </c>
      <c r="F25" s="10" t="s">
        <v>498</v>
      </c>
      <c r="G25" s="2" t="s">
        <v>470</v>
      </c>
      <c r="H25" s="6"/>
      <c r="I25" s="2" t="s">
        <v>472</v>
      </c>
      <c r="J25" s="20">
        <v>45860</v>
      </c>
      <c r="K25" s="1"/>
      <c r="L25" s="1"/>
    </row>
    <row r="26" spans="1:12" x14ac:dyDescent="0.2">
      <c r="A26" s="3">
        <v>45859</v>
      </c>
      <c r="B26" s="2" t="s">
        <v>465</v>
      </c>
      <c r="C26" s="2" t="s">
        <v>473</v>
      </c>
      <c r="D26" s="2" t="s">
        <v>467</v>
      </c>
      <c r="E26" s="5" t="s">
        <v>497</v>
      </c>
      <c r="F26" s="10" t="s">
        <v>499</v>
      </c>
      <c r="G26" s="6" t="s">
        <v>470</v>
      </c>
      <c r="H26" s="6"/>
      <c r="I26" s="2" t="s">
        <v>472</v>
      </c>
      <c r="J26" s="20">
        <v>45860</v>
      </c>
      <c r="K26" s="2"/>
      <c r="L26" s="2"/>
    </row>
    <row r="27" spans="1:12" x14ac:dyDescent="0.2">
      <c r="A27" s="3">
        <v>45859</v>
      </c>
      <c r="B27" s="2" t="s">
        <v>465</v>
      </c>
      <c r="C27" s="2" t="s">
        <v>473</v>
      </c>
      <c r="D27" s="2" t="s">
        <v>467</v>
      </c>
      <c r="E27" s="2" t="s">
        <v>497</v>
      </c>
      <c r="F27" s="7" t="s">
        <v>500</v>
      </c>
      <c r="G27" s="2" t="s">
        <v>470</v>
      </c>
      <c r="H27" s="6"/>
      <c r="I27" s="2" t="s">
        <v>472</v>
      </c>
      <c r="J27" s="20">
        <v>45860</v>
      </c>
      <c r="K27" s="1"/>
      <c r="L27" s="1"/>
    </row>
    <row r="28" spans="1:12" x14ac:dyDescent="0.2">
      <c r="A28" s="3">
        <v>45860</v>
      </c>
      <c r="B28" s="2"/>
      <c r="C28" s="2" t="s">
        <v>473</v>
      </c>
      <c r="D28" s="2" t="s">
        <v>467</v>
      </c>
      <c r="E28" s="2" t="s">
        <v>501</v>
      </c>
      <c r="F28" s="2" t="s">
        <v>502</v>
      </c>
      <c r="G28" s="2"/>
      <c r="H28" s="6"/>
      <c r="I28" s="2" t="s">
        <v>472</v>
      </c>
      <c r="J28" s="20">
        <v>45860</v>
      </c>
      <c r="K28" s="1" t="s">
        <v>503</v>
      </c>
      <c r="L28" s="1"/>
    </row>
    <row r="29" spans="1:12" x14ac:dyDescent="0.2">
      <c r="A29" s="3">
        <v>45861</v>
      </c>
      <c r="B29" s="2"/>
      <c r="C29" s="2" t="s">
        <v>485</v>
      </c>
      <c r="D29" s="2" t="s">
        <v>467</v>
      </c>
      <c r="E29" s="2" t="s">
        <v>487</v>
      </c>
      <c r="F29" s="2" t="s">
        <v>502</v>
      </c>
      <c r="G29" s="2"/>
      <c r="H29" s="6"/>
      <c r="I29" s="13" t="s">
        <v>488</v>
      </c>
      <c r="J29" s="1"/>
      <c r="K29" s="1" t="s">
        <v>504</v>
      </c>
      <c r="L29" s="1"/>
    </row>
    <row r="30" spans="1:12" x14ac:dyDescent="0.2">
      <c r="A30" s="3">
        <v>45862</v>
      </c>
      <c r="B30" s="2"/>
      <c r="C30" s="2" t="s">
        <v>473</v>
      </c>
      <c r="D30" s="2" t="s">
        <v>467</v>
      </c>
      <c r="E30" s="2" t="s">
        <v>501</v>
      </c>
      <c r="F30" s="12" t="s">
        <v>505</v>
      </c>
      <c r="G30" s="2"/>
      <c r="H30" s="6"/>
      <c r="I30" s="2" t="s">
        <v>472</v>
      </c>
      <c r="J30" s="20">
        <v>45860</v>
      </c>
      <c r="K30" s="1" t="s">
        <v>503</v>
      </c>
      <c r="L30" s="1"/>
    </row>
    <row r="31" spans="1:12" ht="15" customHeight="1" x14ac:dyDescent="0.2">
      <c r="A31" s="3">
        <v>45863</v>
      </c>
      <c r="B31" s="9"/>
      <c r="C31" s="2" t="s">
        <v>485</v>
      </c>
      <c r="D31" s="10" t="s">
        <v>467</v>
      </c>
      <c r="E31" s="10" t="s">
        <v>487</v>
      </c>
      <c r="F31" s="10" t="s">
        <v>505</v>
      </c>
      <c r="G31" s="9"/>
      <c r="H31" s="6"/>
      <c r="I31" s="13" t="s">
        <v>488</v>
      </c>
      <c r="J31" s="9"/>
      <c r="K31" s="1" t="s">
        <v>504</v>
      </c>
      <c r="L31" s="1"/>
    </row>
    <row r="32" spans="1:12" ht="15" customHeight="1" x14ac:dyDescent="0.2">
      <c r="A32" s="3">
        <v>45864</v>
      </c>
      <c r="B32" s="9"/>
      <c r="C32" s="10" t="s">
        <v>473</v>
      </c>
      <c r="D32" s="10" t="s">
        <v>467</v>
      </c>
      <c r="E32" s="10" t="s">
        <v>501</v>
      </c>
      <c r="F32" s="10" t="s">
        <v>506</v>
      </c>
      <c r="G32" s="9"/>
      <c r="H32" s="6"/>
      <c r="I32" s="2" t="s">
        <v>472</v>
      </c>
      <c r="J32" s="20">
        <v>45860</v>
      </c>
      <c r="K32" s="9" t="s">
        <v>503</v>
      </c>
      <c r="L32" s="9"/>
    </row>
    <row r="33" spans="1:12" ht="15" customHeight="1" x14ac:dyDescent="0.2">
      <c r="A33" s="3">
        <v>45865</v>
      </c>
      <c r="B33" s="9"/>
      <c r="C33" s="2" t="s">
        <v>485</v>
      </c>
      <c r="D33" s="10" t="s">
        <v>467</v>
      </c>
      <c r="E33" s="10" t="s">
        <v>487</v>
      </c>
      <c r="F33" s="10" t="s">
        <v>506</v>
      </c>
      <c r="G33" s="9"/>
      <c r="H33" s="6"/>
      <c r="I33" s="13" t="s">
        <v>488</v>
      </c>
      <c r="J33" s="9"/>
      <c r="K33" s="1" t="s">
        <v>504</v>
      </c>
      <c r="L33" s="1"/>
    </row>
    <row r="34" spans="1:12" ht="15" customHeight="1" x14ac:dyDescent="0.2">
      <c r="A34" s="3">
        <v>45866</v>
      </c>
      <c r="B34" s="9"/>
      <c r="C34" s="10" t="s">
        <v>473</v>
      </c>
      <c r="D34" s="10" t="s">
        <v>467</v>
      </c>
      <c r="E34" s="10" t="s">
        <v>501</v>
      </c>
      <c r="F34" s="10" t="s">
        <v>507</v>
      </c>
      <c r="G34" s="9"/>
      <c r="H34" s="6"/>
      <c r="I34" s="2" t="s">
        <v>472</v>
      </c>
      <c r="J34" s="20">
        <v>45860</v>
      </c>
      <c r="K34" s="9" t="s">
        <v>503</v>
      </c>
      <c r="L34" s="9"/>
    </row>
    <row r="35" spans="1:12" ht="15" customHeight="1" x14ac:dyDescent="0.2">
      <c r="A35" s="3">
        <v>45867</v>
      </c>
      <c r="B35" s="9"/>
      <c r="C35" s="2" t="s">
        <v>485</v>
      </c>
      <c r="D35" s="10" t="s">
        <v>467</v>
      </c>
      <c r="E35" s="10" t="s">
        <v>487</v>
      </c>
      <c r="F35" s="10" t="s">
        <v>507</v>
      </c>
      <c r="G35" s="9"/>
      <c r="H35" s="6"/>
      <c r="I35" s="13" t="s">
        <v>488</v>
      </c>
      <c r="J35" s="9"/>
      <c r="K35" s="1" t="s">
        <v>504</v>
      </c>
      <c r="L35" s="1"/>
    </row>
    <row r="36" spans="1:12" ht="15" customHeight="1" x14ac:dyDescent="0.2">
      <c r="A36" s="37">
        <v>45868</v>
      </c>
      <c r="B36" s="23"/>
      <c r="C36" s="38" t="s">
        <v>473</v>
      </c>
      <c r="D36" s="38" t="s">
        <v>467</v>
      </c>
      <c r="E36" s="38" t="s">
        <v>501</v>
      </c>
      <c r="F36" s="38" t="s">
        <v>508</v>
      </c>
      <c r="G36" s="23"/>
      <c r="H36" s="6"/>
      <c r="I36" s="12" t="s">
        <v>472</v>
      </c>
      <c r="J36" s="39">
        <v>45860</v>
      </c>
      <c r="K36" s="23" t="s">
        <v>503</v>
      </c>
      <c r="L36" s="23"/>
    </row>
    <row r="37" spans="1:12" ht="15" customHeight="1" x14ac:dyDescent="0.2">
      <c r="A37" s="40">
        <v>45869</v>
      </c>
      <c r="B37" s="9"/>
      <c r="C37" s="10" t="s">
        <v>485</v>
      </c>
      <c r="D37" s="10" t="s">
        <v>467</v>
      </c>
      <c r="E37" s="10" t="s">
        <v>487</v>
      </c>
      <c r="F37" s="10" t="s">
        <v>508</v>
      </c>
      <c r="G37" s="9"/>
      <c r="H37" s="6"/>
      <c r="I37" s="35" t="s">
        <v>488</v>
      </c>
      <c r="J37" s="9"/>
      <c r="K37" s="9" t="s">
        <v>504</v>
      </c>
      <c r="L37" s="9"/>
    </row>
    <row r="38" spans="1:12" ht="15" customHeight="1" x14ac:dyDescent="0.2">
      <c r="A38" s="40">
        <v>45862</v>
      </c>
      <c r="B38" s="10" t="s">
        <v>495</v>
      </c>
      <c r="C38" s="10" t="s">
        <v>473</v>
      </c>
      <c r="D38" s="10" t="s">
        <v>467</v>
      </c>
      <c r="E38" s="10" t="s">
        <v>494</v>
      </c>
      <c r="F38" s="10" t="s">
        <v>450</v>
      </c>
      <c r="G38" s="9"/>
      <c r="H38" s="6"/>
      <c r="I38" s="10" t="s">
        <v>472</v>
      </c>
      <c r="J38" s="9"/>
      <c r="K38" s="9" t="s">
        <v>496</v>
      </c>
      <c r="L38" s="9"/>
    </row>
    <row r="39" spans="1:12" ht="15" customHeight="1" x14ac:dyDescent="0.2">
      <c r="A39" s="40">
        <v>45862</v>
      </c>
      <c r="B39" s="10" t="s">
        <v>495</v>
      </c>
      <c r="C39" s="10" t="s">
        <v>473</v>
      </c>
      <c r="D39" s="10" t="s">
        <v>467</v>
      </c>
      <c r="E39" s="10" t="s">
        <v>494</v>
      </c>
      <c r="F39" s="10" t="s">
        <v>509</v>
      </c>
      <c r="G39" s="9"/>
      <c r="H39" s="6"/>
      <c r="I39" s="10" t="s">
        <v>472</v>
      </c>
      <c r="J39" s="9"/>
      <c r="K39" s="9" t="s">
        <v>496</v>
      </c>
      <c r="L39" s="9"/>
    </row>
    <row r="40" spans="1:12" ht="15" customHeight="1" x14ac:dyDescent="0.2">
      <c r="A40" s="40">
        <v>45862</v>
      </c>
      <c r="B40" s="10" t="s">
        <v>495</v>
      </c>
      <c r="C40" s="10" t="s">
        <v>473</v>
      </c>
      <c r="D40" s="10" t="s">
        <v>467</v>
      </c>
      <c r="E40" s="10" t="s">
        <v>494</v>
      </c>
      <c r="F40" s="10" t="s">
        <v>510</v>
      </c>
      <c r="G40" s="9"/>
      <c r="H40" s="9"/>
      <c r="I40" s="10" t="s">
        <v>472</v>
      </c>
      <c r="J40" s="9"/>
      <c r="K40" s="9" t="s">
        <v>496</v>
      </c>
      <c r="L40" s="9"/>
    </row>
    <row r="41" spans="1:12" ht="15" customHeight="1" x14ac:dyDescent="0.2">
      <c r="A41" s="40">
        <v>45867</v>
      </c>
      <c r="B41" s="10" t="s">
        <v>511</v>
      </c>
      <c r="C41" s="10" t="s">
        <v>485</v>
      </c>
      <c r="D41" s="10" t="s">
        <v>486</v>
      </c>
      <c r="E41" s="10" t="s">
        <v>487</v>
      </c>
      <c r="F41" s="10" t="s">
        <v>511</v>
      </c>
      <c r="G41" s="9" t="s">
        <v>512</v>
      </c>
      <c r="H41" s="9"/>
      <c r="I41" s="10" t="s">
        <v>513</v>
      </c>
      <c r="J41" s="9"/>
      <c r="K41" s="9" t="s">
        <v>514</v>
      </c>
      <c r="L41" s="9"/>
    </row>
    <row r="42" spans="1:12" ht="15" customHeight="1" x14ac:dyDescent="0.2">
      <c r="A42" s="40">
        <v>45867</v>
      </c>
      <c r="B42" s="10" t="s">
        <v>511</v>
      </c>
      <c r="C42" s="10" t="s">
        <v>485</v>
      </c>
      <c r="D42" s="10" t="s">
        <v>486</v>
      </c>
      <c r="E42" s="10" t="s">
        <v>487</v>
      </c>
      <c r="F42" s="10" t="s">
        <v>515</v>
      </c>
      <c r="G42" s="9" t="s">
        <v>512</v>
      </c>
      <c r="H42" s="9"/>
      <c r="I42" s="10" t="s">
        <v>513</v>
      </c>
      <c r="J42" s="9"/>
      <c r="K42" s="9" t="s">
        <v>514</v>
      </c>
      <c r="L42" s="9"/>
    </row>
    <row r="43" spans="1:12" ht="15" customHeight="1" x14ac:dyDescent="0.2">
      <c r="A43" s="40">
        <v>45867</v>
      </c>
      <c r="B43" s="10" t="s">
        <v>511</v>
      </c>
      <c r="C43" s="10" t="s">
        <v>485</v>
      </c>
      <c r="D43" s="10" t="s">
        <v>486</v>
      </c>
      <c r="E43" s="10" t="s">
        <v>487</v>
      </c>
      <c r="F43" s="10" t="s">
        <v>516</v>
      </c>
      <c r="G43" s="9" t="s">
        <v>512</v>
      </c>
      <c r="H43" s="9"/>
      <c r="I43" s="10" t="s">
        <v>513</v>
      </c>
      <c r="J43" s="9"/>
      <c r="K43" s="9" t="s">
        <v>514</v>
      </c>
      <c r="L43" s="9"/>
    </row>
    <row r="44" spans="1:12" ht="15" customHeight="1" x14ac:dyDescent="0.2">
      <c r="A44" s="40">
        <v>45867</v>
      </c>
      <c r="B44" s="10" t="s">
        <v>511</v>
      </c>
      <c r="C44" s="10" t="s">
        <v>485</v>
      </c>
      <c r="D44" s="10" t="s">
        <v>486</v>
      </c>
      <c r="E44" s="10" t="s">
        <v>487</v>
      </c>
      <c r="F44" s="10" t="s">
        <v>517</v>
      </c>
      <c r="G44" s="9" t="s">
        <v>512</v>
      </c>
      <c r="H44" s="9"/>
      <c r="I44" s="10" t="s">
        <v>513</v>
      </c>
      <c r="J44" s="9"/>
      <c r="K44" s="9" t="s">
        <v>514</v>
      </c>
      <c r="L44" s="9"/>
    </row>
    <row r="45" spans="1:12" ht="15" customHeight="1" x14ac:dyDescent="0.2">
      <c r="A45" s="40">
        <v>45867</v>
      </c>
      <c r="B45" s="10" t="s">
        <v>511</v>
      </c>
      <c r="C45" s="10" t="s">
        <v>473</v>
      </c>
      <c r="D45" s="10" t="s">
        <v>467</v>
      </c>
      <c r="E45" s="10" t="s">
        <v>518</v>
      </c>
      <c r="F45" s="10" t="s">
        <v>511</v>
      </c>
      <c r="G45" s="9" t="s">
        <v>512</v>
      </c>
      <c r="H45" s="9"/>
      <c r="I45" s="10" t="s">
        <v>513</v>
      </c>
      <c r="J45" s="9"/>
      <c r="K45" s="9" t="s">
        <v>514</v>
      </c>
      <c r="L45" s="9"/>
    </row>
    <row r="46" spans="1:12" ht="15" customHeight="1" x14ac:dyDescent="0.2">
      <c r="A46" s="40">
        <v>45867</v>
      </c>
      <c r="B46" s="10" t="s">
        <v>511</v>
      </c>
      <c r="C46" s="10" t="s">
        <v>473</v>
      </c>
      <c r="D46" s="10" t="s">
        <v>467</v>
      </c>
      <c r="E46" s="10" t="s">
        <v>519</v>
      </c>
      <c r="F46" s="10" t="s">
        <v>515</v>
      </c>
      <c r="G46" s="9" t="s">
        <v>512</v>
      </c>
      <c r="H46" s="9"/>
      <c r="I46" s="10" t="s">
        <v>513</v>
      </c>
      <c r="J46" s="9"/>
      <c r="K46" s="9" t="s">
        <v>514</v>
      </c>
      <c r="L46" s="9"/>
    </row>
    <row r="47" spans="1:12" ht="15" customHeight="1" x14ac:dyDescent="0.2">
      <c r="A47" s="40">
        <v>45867</v>
      </c>
      <c r="B47" s="10" t="s">
        <v>511</v>
      </c>
      <c r="C47" s="10" t="s">
        <v>473</v>
      </c>
      <c r="D47" s="10" t="s">
        <v>467</v>
      </c>
      <c r="E47" s="10" t="s">
        <v>520</v>
      </c>
      <c r="F47" s="10" t="s">
        <v>521</v>
      </c>
      <c r="G47" s="9" t="s">
        <v>512</v>
      </c>
      <c r="H47" s="9"/>
      <c r="I47" s="10" t="s">
        <v>513</v>
      </c>
      <c r="J47" s="9"/>
      <c r="K47" s="9" t="s">
        <v>514</v>
      </c>
      <c r="L47" s="9"/>
    </row>
    <row r="48" spans="1:12" ht="15" customHeight="1" x14ac:dyDescent="0.2">
      <c r="A48" s="40">
        <v>45867</v>
      </c>
      <c r="B48" s="10" t="s">
        <v>511</v>
      </c>
      <c r="C48" s="10" t="s">
        <v>473</v>
      </c>
      <c r="D48" s="10" t="s">
        <v>467</v>
      </c>
      <c r="E48" s="10" t="s">
        <v>520</v>
      </c>
      <c r="F48" s="10" t="s">
        <v>517</v>
      </c>
      <c r="G48" s="9" t="s">
        <v>512</v>
      </c>
      <c r="H48" s="9"/>
      <c r="I48" s="10" t="s">
        <v>513</v>
      </c>
      <c r="J48" s="9"/>
      <c r="K48" s="9" t="s">
        <v>514</v>
      </c>
      <c r="L48" s="9"/>
    </row>
    <row r="49" spans="1:12" ht="15" customHeight="1" x14ac:dyDescent="0.2">
      <c r="A49" s="40">
        <v>45867</v>
      </c>
      <c r="B49" s="10" t="s">
        <v>511</v>
      </c>
      <c r="C49" s="10" t="s">
        <v>473</v>
      </c>
      <c r="D49" s="10" t="s">
        <v>467</v>
      </c>
      <c r="E49" s="10" t="s">
        <v>520</v>
      </c>
      <c r="F49" s="10" t="s">
        <v>516</v>
      </c>
      <c r="G49" s="9" t="s">
        <v>512</v>
      </c>
      <c r="H49" s="9"/>
      <c r="I49" s="10" t="s">
        <v>513</v>
      </c>
      <c r="J49" s="9"/>
      <c r="K49" s="9" t="s">
        <v>514</v>
      </c>
      <c r="L49" s="9"/>
    </row>
    <row r="50" spans="1:12" ht="15" customHeight="1" x14ac:dyDescent="0.2">
      <c r="A50" s="40">
        <v>45867</v>
      </c>
      <c r="B50" s="10" t="s">
        <v>511</v>
      </c>
      <c r="C50" s="10" t="s">
        <v>473</v>
      </c>
      <c r="D50" s="10" t="s">
        <v>467</v>
      </c>
      <c r="E50" s="38" t="s">
        <v>519</v>
      </c>
      <c r="F50" s="38" t="s">
        <v>77</v>
      </c>
      <c r="G50" s="9" t="s">
        <v>512</v>
      </c>
      <c r="H50" s="9"/>
      <c r="I50" s="10" t="s">
        <v>513</v>
      </c>
      <c r="J50" s="9"/>
      <c r="K50" s="9" t="s">
        <v>522</v>
      </c>
      <c r="L50" s="9"/>
    </row>
    <row r="51" spans="1:12" ht="15" customHeight="1" x14ac:dyDescent="0.2">
      <c r="A51" s="40">
        <v>45867</v>
      </c>
      <c r="B51" t="s">
        <v>523</v>
      </c>
      <c r="C51" s="10" t="s">
        <v>473</v>
      </c>
      <c r="D51" s="22" t="s">
        <v>467</v>
      </c>
      <c r="E51" s="10" t="s">
        <v>524</v>
      </c>
      <c r="F51" s="9" t="s">
        <v>523</v>
      </c>
      <c r="G51" s="9" t="s">
        <v>525</v>
      </c>
      <c r="H51" s="88"/>
      <c r="I51" s="49" t="s">
        <v>513</v>
      </c>
      <c r="K51" t="s">
        <v>526</v>
      </c>
      <c r="L51" s="52" t="s">
        <v>527</v>
      </c>
    </row>
    <row r="52" spans="1:12" ht="15" customHeight="1" x14ac:dyDescent="0.2">
      <c r="A52" s="40">
        <v>45867</v>
      </c>
      <c r="B52" t="s">
        <v>528</v>
      </c>
      <c r="C52" s="10" t="s">
        <v>473</v>
      </c>
      <c r="D52" s="22" t="s">
        <v>467</v>
      </c>
      <c r="E52" s="10" t="s">
        <v>408</v>
      </c>
      <c r="F52" s="9" t="s">
        <v>528</v>
      </c>
      <c r="G52" s="9"/>
      <c r="H52" s="88"/>
      <c r="I52" s="49"/>
      <c r="K52" t="s">
        <v>526</v>
      </c>
    </row>
    <row r="53" spans="1:12" ht="15" customHeight="1" x14ac:dyDescent="0.2">
      <c r="A53" s="42">
        <v>45867</v>
      </c>
      <c r="B53" s="43" t="s">
        <v>529</v>
      </c>
      <c r="C53" s="43" t="s">
        <v>473</v>
      </c>
      <c r="D53" s="43" t="s">
        <v>486</v>
      </c>
      <c r="E53" s="45" t="s">
        <v>530</v>
      </c>
      <c r="F53" s="45" t="s">
        <v>529</v>
      </c>
      <c r="G53" s="9" t="s">
        <v>512</v>
      </c>
      <c r="H53" s="9"/>
      <c r="I53" s="10" t="s">
        <v>513</v>
      </c>
      <c r="J53" s="43" t="s">
        <v>4</v>
      </c>
      <c r="K53" s="43" t="s">
        <v>531</v>
      </c>
      <c r="L53" t="s">
        <v>527</v>
      </c>
    </row>
    <row r="54" spans="1:12" ht="15" customHeight="1" x14ac:dyDescent="0.2">
      <c r="A54" s="44">
        <v>45867</v>
      </c>
      <c r="B54" s="45" t="s">
        <v>529</v>
      </c>
      <c r="C54" s="45" t="s">
        <v>473</v>
      </c>
      <c r="D54" s="45" t="s">
        <v>486</v>
      </c>
      <c r="E54" s="45" t="s">
        <v>530</v>
      </c>
      <c r="F54" s="45" t="s">
        <v>532</v>
      </c>
      <c r="G54" s="9" t="s">
        <v>512</v>
      </c>
      <c r="H54" s="9"/>
      <c r="I54" s="10" t="s">
        <v>513</v>
      </c>
      <c r="J54" s="45" t="s">
        <v>4</v>
      </c>
      <c r="K54" s="45" t="s">
        <v>531</v>
      </c>
      <c r="L54" t="s">
        <v>527</v>
      </c>
    </row>
    <row r="55" spans="1:12" ht="15" customHeight="1" x14ac:dyDescent="0.2">
      <c r="A55" s="44">
        <v>45867</v>
      </c>
      <c r="B55" s="45" t="s">
        <v>529</v>
      </c>
      <c r="C55" s="45" t="s">
        <v>473</v>
      </c>
      <c r="D55" s="45" t="s">
        <v>486</v>
      </c>
      <c r="E55" s="45" t="s">
        <v>530</v>
      </c>
      <c r="F55" s="45" t="s">
        <v>533</v>
      </c>
      <c r="G55" s="9" t="s">
        <v>512</v>
      </c>
      <c r="H55" s="9"/>
      <c r="I55" s="10" t="s">
        <v>513</v>
      </c>
      <c r="J55" s="45" t="s">
        <v>4</v>
      </c>
      <c r="K55" s="45" t="s">
        <v>531</v>
      </c>
      <c r="L55" t="s">
        <v>527</v>
      </c>
    </row>
    <row r="56" spans="1:12" ht="15" customHeight="1" x14ac:dyDescent="0.2">
      <c r="A56" s="44">
        <v>45867</v>
      </c>
      <c r="B56" s="45" t="s">
        <v>529</v>
      </c>
      <c r="C56" s="45" t="s">
        <v>473</v>
      </c>
      <c r="D56" s="45" t="s">
        <v>486</v>
      </c>
      <c r="E56" s="45" t="s">
        <v>530</v>
      </c>
      <c r="F56" s="45" t="s">
        <v>534</v>
      </c>
      <c r="G56" s="9" t="s">
        <v>512</v>
      </c>
      <c r="H56" s="9"/>
      <c r="I56" s="10" t="s">
        <v>513</v>
      </c>
      <c r="J56" s="45" t="s">
        <v>4</v>
      </c>
      <c r="K56" s="45" t="s">
        <v>531</v>
      </c>
      <c r="L56" t="s">
        <v>527</v>
      </c>
    </row>
    <row r="57" spans="1:12" ht="15" customHeight="1" x14ac:dyDescent="0.2">
      <c r="A57" s="44">
        <v>45867</v>
      </c>
      <c r="B57" s="45" t="s">
        <v>529</v>
      </c>
      <c r="C57" s="45" t="s">
        <v>473</v>
      </c>
      <c r="D57" s="45" t="s">
        <v>486</v>
      </c>
      <c r="E57" s="45" t="s">
        <v>530</v>
      </c>
      <c r="F57" s="45" t="s">
        <v>535</v>
      </c>
      <c r="G57" s="9" t="s">
        <v>512</v>
      </c>
      <c r="H57" s="9"/>
      <c r="I57" s="10" t="s">
        <v>513</v>
      </c>
      <c r="J57" s="45" t="s">
        <v>4</v>
      </c>
      <c r="K57" s="45" t="s">
        <v>531</v>
      </c>
      <c r="L57" t="s">
        <v>527</v>
      </c>
    </row>
    <row r="58" spans="1:12" ht="15" customHeight="1" x14ac:dyDescent="0.2">
      <c r="A58" s="44">
        <v>45867</v>
      </c>
      <c r="B58" s="45" t="s">
        <v>529</v>
      </c>
      <c r="C58" s="45" t="s">
        <v>473</v>
      </c>
      <c r="D58" s="45" t="s">
        <v>486</v>
      </c>
      <c r="E58" s="45" t="s">
        <v>530</v>
      </c>
      <c r="F58" s="45" t="s">
        <v>491</v>
      </c>
      <c r="G58" s="9" t="s">
        <v>512</v>
      </c>
      <c r="H58" s="9"/>
      <c r="I58" s="10" t="s">
        <v>513</v>
      </c>
      <c r="J58" s="45" t="s">
        <v>4</v>
      </c>
      <c r="K58" s="45" t="s">
        <v>531</v>
      </c>
      <c r="L58" t="s">
        <v>527</v>
      </c>
    </row>
    <row r="59" spans="1:12" ht="15" customHeight="1" x14ac:dyDescent="0.2">
      <c r="A59" s="42">
        <v>45874</v>
      </c>
      <c r="B59" s="43" t="s">
        <v>536</v>
      </c>
      <c r="C59" s="43" t="s">
        <v>537</v>
      </c>
      <c r="D59" s="43" t="s">
        <v>486</v>
      </c>
      <c r="E59" s="43" t="s">
        <v>538</v>
      </c>
      <c r="F59" s="45" t="s">
        <v>529</v>
      </c>
      <c r="G59" s="9" t="s">
        <v>512</v>
      </c>
      <c r="H59" s="9"/>
      <c r="I59" s="43" t="s">
        <v>4</v>
      </c>
      <c r="J59" s="43" t="s">
        <v>4</v>
      </c>
      <c r="K59" s="43" t="s">
        <v>531</v>
      </c>
      <c r="L59" s="61"/>
    </row>
    <row r="60" spans="1:12" ht="15" customHeight="1" x14ac:dyDescent="0.2">
      <c r="A60" s="44">
        <v>45874</v>
      </c>
      <c r="B60" s="45" t="s">
        <v>536</v>
      </c>
      <c r="C60" s="43" t="s">
        <v>537</v>
      </c>
      <c r="D60" s="45" t="s">
        <v>486</v>
      </c>
      <c r="E60" s="43" t="s">
        <v>538</v>
      </c>
      <c r="F60" s="45" t="s">
        <v>532</v>
      </c>
      <c r="G60" s="9" t="s">
        <v>512</v>
      </c>
      <c r="H60" s="9"/>
      <c r="I60" s="45" t="s">
        <v>4</v>
      </c>
      <c r="J60" s="45" t="s">
        <v>4</v>
      </c>
      <c r="K60" s="45" t="s">
        <v>531</v>
      </c>
      <c r="L60" s="61"/>
    </row>
    <row r="61" spans="1:12" ht="15" customHeight="1" x14ac:dyDescent="0.2">
      <c r="A61" s="44">
        <v>45874</v>
      </c>
      <c r="B61" s="45" t="s">
        <v>536</v>
      </c>
      <c r="C61" s="43" t="s">
        <v>537</v>
      </c>
      <c r="D61" s="45" t="s">
        <v>486</v>
      </c>
      <c r="E61" s="43" t="s">
        <v>538</v>
      </c>
      <c r="F61" s="45" t="s">
        <v>533</v>
      </c>
      <c r="G61" s="9" t="s">
        <v>512</v>
      </c>
      <c r="H61" s="9"/>
      <c r="I61" s="45" t="s">
        <v>4</v>
      </c>
      <c r="J61" s="45" t="s">
        <v>4</v>
      </c>
      <c r="K61" s="45" t="s">
        <v>531</v>
      </c>
      <c r="L61" s="61"/>
    </row>
    <row r="62" spans="1:12" ht="15" customHeight="1" x14ac:dyDescent="0.2">
      <c r="A62" s="44">
        <v>45874</v>
      </c>
      <c r="B62" s="45" t="s">
        <v>536</v>
      </c>
      <c r="C62" s="43" t="s">
        <v>537</v>
      </c>
      <c r="D62" s="45" t="s">
        <v>486</v>
      </c>
      <c r="E62" s="43" t="s">
        <v>538</v>
      </c>
      <c r="F62" s="45" t="s">
        <v>534</v>
      </c>
      <c r="G62" s="9" t="s">
        <v>512</v>
      </c>
      <c r="H62" s="9"/>
      <c r="I62" s="45" t="s">
        <v>4</v>
      </c>
      <c r="J62" s="45" t="s">
        <v>4</v>
      </c>
      <c r="K62" s="45" t="s">
        <v>531</v>
      </c>
      <c r="L62" s="61"/>
    </row>
    <row r="63" spans="1:12" ht="15" customHeight="1" x14ac:dyDescent="0.2">
      <c r="A63" s="44">
        <v>45874</v>
      </c>
      <c r="B63" s="45" t="s">
        <v>536</v>
      </c>
      <c r="C63" s="43" t="s">
        <v>537</v>
      </c>
      <c r="D63" s="45" t="s">
        <v>486</v>
      </c>
      <c r="E63" s="43" t="s">
        <v>538</v>
      </c>
      <c r="F63" s="45" t="s">
        <v>535</v>
      </c>
      <c r="G63" s="9" t="s">
        <v>512</v>
      </c>
      <c r="H63" s="9"/>
      <c r="I63" s="45" t="s">
        <v>4</v>
      </c>
      <c r="J63" s="45" t="s">
        <v>4</v>
      </c>
      <c r="K63" s="45" t="s">
        <v>531</v>
      </c>
      <c r="L63" s="61"/>
    </row>
    <row r="64" spans="1:12" ht="15" customHeight="1" x14ac:dyDescent="0.2">
      <c r="A64" s="73">
        <v>45874</v>
      </c>
      <c r="B64" s="74" t="s">
        <v>536</v>
      </c>
      <c r="C64" s="43" t="s">
        <v>537</v>
      </c>
      <c r="D64" s="74" t="s">
        <v>486</v>
      </c>
      <c r="E64" s="43" t="s">
        <v>538</v>
      </c>
      <c r="F64" s="75" t="s">
        <v>491</v>
      </c>
      <c r="G64" s="9" t="s">
        <v>512</v>
      </c>
      <c r="H64" s="9"/>
      <c r="I64" s="74" t="s">
        <v>4</v>
      </c>
      <c r="J64" s="74" t="s">
        <v>4</v>
      </c>
      <c r="K64" s="74" t="s">
        <v>531</v>
      </c>
      <c r="L64" s="61"/>
    </row>
    <row r="65" spans="1:11" s="9" customFormat="1" ht="15" customHeight="1" x14ac:dyDescent="0.2">
      <c r="A65" s="76">
        <v>45875</v>
      </c>
      <c r="B65" s="9" t="s">
        <v>465</v>
      </c>
      <c r="C65" s="43" t="s">
        <v>473</v>
      </c>
      <c r="D65" s="10" t="s">
        <v>467</v>
      </c>
      <c r="E65" s="10" t="s">
        <v>539</v>
      </c>
      <c r="F65" s="10" t="s">
        <v>540</v>
      </c>
      <c r="G65" s="23"/>
      <c r="H65" s="23"/>
      <c r="I65" s="23"/>
      <c r="J65" s="23"/>
      <c r="K65" s="23" t="s">
        <v>541</v>
      </c>
    </row>
    <row r="66" spans="1:11" ht="15" customHeight="1" x14ac:dyDescent="0.2">
      <c r="A66" s="3">
        <v>45875</v>
      </c>
      <c r="B66" s="2" t="s">
        <v>157</v>
      </c>
      <c r="C66" s="2" t="s">
        <v>473</v>
      </c>
      <c r="D66" s="2" t="s">
        <v>467</v>
      </c>
      <c r="E66" s="2" t="s">
        <v>475</v>
      </c>
      <c r="F66" s="5" t="s">
        <v>542</v>
      </c>
      <c r="G66" s="62" t="s">
        <v>4</v>
      </c>
      <c r="H66" s="62" t="s">
        <v>4</v>
      </c>
      <c r="I66" s="9"/>
      <c r="J66" s="9"/>
      <c r="K66" s="9" t="s">
        <v>543</v>
      </c>
    </row>
    <row r="67" spans="1:11" ht="15" customHeight="1" x14ac:dyDescent="0.2">
      <c r="A67" s="3">
        <v>45875</v>
      </c>
      <c r="B67" s="2" t="s">
        <v>157</v>
      </c>
      <c r="C67" s="2" t="s">
        <v>473</v>
      </c>
      <c r="D67" s="2" t="s">
        <v>467</v>
      </c>
      <c r="E67" s="2" t="s">
        <v>475</v>
      </c>
      <c r="F67" s="5" t="s">
        <v>544</v>
      </c>
      <c r="G67" s="62" t="s">
        <v>4</v>
      </c>
      <c r="H67" s="62" t="s">
        <v>4</v>
      </c>
      <c r="I67" s="9"/>
      <c r="J67" s="9"/>
      <c r="K67" s="9" t="s">
        <v>543</v>
      </c>
    </row>
    <row r="68" spans="1:11" ht="15" customHeight="1" x14ac:dyDescent="0.2">
      <c r="A68" s="3">
        <v>45875</v>
      </c>
      <c r="B68" s="2" t="s">
        <v>157</v>
      </c>
      <c r="C68" s="2" t="s">
        <v>473</v>
      </c>
      <c r="D68" s="2" t="s">
        <v>467</v>
      </c>
      <c r="E68" s="2" t="s">
        <v>475</v>
      </c>
      <c r="F68" s="5" t="s">
        <v>545</v>
      </c>
      <c r="G68" s="62" t="s">
        <v>4</v>
      </c>
      <c r="H68" s="62" t="s">
        <v>4</v>
      </c>
      <c r="I68" s="9"/>
      <c r="J68" s="9"/>
      <c r="K68" s="9" t="s">
        <v>543</v>
      </c>
    </row>
    <row r="69" spans="1:11" ht="15" customHeight="1" x14ac:dyDescent="0.2">
      <c r="A69" s="3">
        <v>45875</v>
      </c>
      <c r="B69" s="2" t="s">
        <v>157</v>
      </c>
      <c r="C69" s="2" t="s">
        <v>473</v>
      </c>
      <c r="D69" s="2" t="s">
        <v>467</v>
      </c>
      <c r="E69" s="2" t="s">
        <v>475</v>
      </c>
      <c r="F69" s="5" t="s">
        <v>546</v>
      </c>
      <c r="G69" s="9"/>
      <c r="H69" s="9"/>
      <c r="I69" s="9"/>
      <c r="J69" s="9"/>
      <c r="K69" s="9" t="s">
        <v>543</v>
      </c>
    </row>
    <row r="70" spans="1:11" ht="15" customHeight="1" x14ac:dyDescent="0.2">
      <c r="A70" s="3">
        <v>45875</v>
      </c>
      <c r="B70" s="2" t="s">
        <v>157</v>
      </c>
      <c r="C70" s="2" t="s">
        <v>473</v>
      </c>
      <c r="D70" s="2" t="s">
        <v>467</v>
      </c>
      <c r="E70" s="2" t="s">
        <v>475</v>
      </c>
      <c r="F70" s="5" t="s">
        <v>547</v>
      </c>
      <c r="G70" s="9"/>
      <c r="H70" s="9"/>
      <c r="I70" s="9"/>
      <c r="J70" s="9"/>
      <c r="K70" s="9" t="s">
        <v>543</v>
      </c>
    </row>
    <row r="71" spans="1:11" ht="15" customHeight="1" x14ac:dyDescent="0.2">
      <c r="A71" s="3">
        <v>45876</v>
      </c>
      <c r="B71" s="2" t="s">
        <v>548</v>
      </c>
      <c r="C71" s="2" t="s">
        <v>473</v>
      </c>
      <c r="D71" s="2" t="s">
        <v>20</v>
      </c>
      <c r="E71" s="45" t="s">
        <v>549</v>
      </c>
      <c r="F71" s="2" t="s">
        <v>548</v>
      </c>
      <c r="G71" s="9"/>
      <c r="H71" s="9"/>
      <c r="I71" s="10" t="s">
        <v>513</v>
      </c>
      <c r="J71" s="90">
        <v>45876</v>
      </c>
      <c r="K71" s="9"/>
    </row>
    <row r="72" spans="1:11" ht="15" customHeight="1" x14ac:dyDescent="0.2">
      <c r="A72" s="3">
        <v>45876</v>
      </c>
      <c r="B72" s="2" t="s">
        <v>550</v>
      </c>
      <c r="C72" s="2" t="s">
        <v>473</v>
      </c>
      <c r="D72" s="2" t="s">
        <v>20</v>
      </c>
      <c r="E72" s="45" t="s">
        <v>549</v>
      </c>
      <c r="F72" s="2" t="s">
        <v>550</v>
      </c>
      <c r="G72" s="9"/>
      <c r="H72" s="9"/>
      <c r="I72" s="10" t="s">
        <v>513</v>
      </c>
      <c r="J72" s="90">
        <v>45876</v>
      </c>
      <c r="K72" s="9"/>
    </row>
    <row r="73" spans="1:11" ht="15" customHeight="1" x14ac:dyDescent="0.2">
      <c r="A73" s="3">
        <v>45876</v>
      </c>
      <c r="B73" s="2" t="s">
        <v>551</v>
      </c>
      <c r="C73" s="2" t="s">
        <v>473</v>
      </c>
      <c r="D73" s="2" t="s">
        <v>20</v>
      </c>
      <c r="E73" s="45" t="s">
        <v>549</v>
      </c>
      <c r="F73" s="2" t="s">
        <v>551</v>
      </c>
      <c r="G73" s="9"/>
      <c r="H73" s="9"/>
      <c r="I73" s="10" t="s">
        <v>513</v>
      </c>
      <c r="J73" s="90">
        <v>45876</v>
      </c>
      <c r="K73" s="9"/>
    </row>
    <row r="74" spans="1:11" ht="15" customHeight="1" x14ac:dyDescent="0.2">
      <c r="A74" s="3">
        <v>45876</v>
      </c>
      <c r="B74" s="2" t="s">
        <v>552</v>
      </c>
      <c r="C74" s="2" t="s">
        <v>473</v>
      </c>
      <c r="D74" s="2" t="s">
        <v>20</v>
      </c>
      <c r="E74" s="45" t="s">
        <v>549</v>
      </c>
      <c r="F74" s="2" t="s">
        <v>552</v>
      </c>
      <c r="G74" s="9"/>
      <c r="H74" s="9"/>
      <c r="I74" s="10" t="s">
        <v>513</v>
      </c>
      <c r="J74" s="90">
        <v>45876</v>
      </c>
      <c r="K74" s="9"/>
    </row>
    <row r="75" spans="1:11" ht="15" customHeight="1" x14ac:dyDescent="0.2">
      <c r="A75" s="37">
        <v>45876</v>
      </c>
      <c r="B75" s="12" t="s">
        <v>553</v>
      </c>
      <c r="C75" s="2" t="s">
        <v>473</v>
      </c>
      <c r="D75" s="2" t="s">
        <v>20</v>
      </c>
      <c r="E75" s="45" t="s">
        <v>549</v>
      </c>
      <c r="F75" s="2" t="s">
        <v>553</v>
      </c>
      <c r="G75" s="23"/>
      <c r="H75" s="23"/>
      <c r="I75" s="38" t="s">
        <v>513</v>
      </c>
      <c r="J75" s="110">
        <v>45876</v>
      </c>
      <c r="K75" s="23"/>
    </row>
    <row r="76" spans="1:11" ht="15" customHeight="1" x14ac:dyDescent="0.2">
      <c r="A76" s="40">
        <v>45895</v>
      </c>
      <c r="B76" s="10" t="s">
        <v>480</v>
      </c>
      <c r="C76" s="6" t="s">
        <v>473</v>
      </c>
      <c r="D76" s="2" t="s">
        <v>467</v>
      </c>
      <c r="E76" s="5" t="s">
        <v>478</v>
      </c>
      <c r="F76" s="22" t="s">
        <v>554</v>
      </c>
      <c r="G76" s="9"/>
      <c r="H76" s="9"/>
      <c r="I76" s="9"/>
      <c r="J76" s="9"/>
      <c r="K76" s="9"/>
    </row>
    <row r="77" spans="1:11" ht="15" customHeight="1" x14ac:dyDescent="0.2">
      <c r="A77" s="40">
        <v>45895</v>
      </c>
      <c r="B77" s="38" t="s">
        <v>480</v>
      </c>
      <c r="C77" s="109" t="s">
        <v>485</v>
      </c>
      <c r="D77" s="12" t="s">
        <v>467</v>
      </c>
      <c r="E77" s="12" t="s">
        <v>487</v>
      </c>
      <c r="F77" s="111" t="s">
        <v>554</v>
      </c>
      <c r="G77" s="23"/>
      <c r="H77" s="23"/>
      <c r="I77" s="23"/>
      <c r="J77" s="23"/>
      <c r="K77" s="23"/>
    </row>
    <row r="78" spans="1:11" ht="15" customHeight="1" x14ac:dyDescent="0.2">
      <c r="A78" s="40">
        <v>45895</v>
      </c>
      <c r="B78" s="10" t="s">
        <v>480</v>
      </c>
      <c r="C78" s="6" t="s">
        <v>473</v>
      </c>
      <c r="D78" s="2" t="s">
        <v>467</v>
      </c>
      <c r="E78" s="5" t="s">
        <v>478</v>
      </c>
      <c r="F78" s="10" t="s">
        <v>555</v>
      </c>
      <c r="G78" s="9"/>
      <c r="H78" s="9"/>
      <c r="I78" s="9"/>
      <c r="J78" s="9"/>
      <c r="K78" s="9"/>
    </row>
    <row r="79" spans="1:11" ht="15" customHeight="1" x14ac:dyDescent="0.2">
      <c r="A79" s="40">
        <v>45895</v>
      </c>
      <c r="B79" s="32" t="s">
        <v>480</v>
      </c>
      <c r="C79" s="109" t="s">
        <v>485</v>
      </c>
      <c r="D79" s="12" t="s">
        <v>467</v>
      </c>
      <c r="E79" s="12" t="s">
        <v>487</v>
      </c>
      <c r="F79" s="10" t="s">
        <v>555</v>
      </c>
      <c r="G79" s="9"/>
      <c r="H79" s="9"/>
      <c r="I79" s="9"/>
      <c r="J79" s="9"/>
      <c r="K79" s="9"/>
    </row>
    <row r="80" spans="1:11" ht="15" customHeight="1" x14ac:dyDescent="0.2">
      <c r="A80" s="40">
        <v>45895</v>
      </c>
      <c r="B80" s="38" t="s">
        <v>480</v>
      </c>
      <c r="C80" s="109" t="s">
        <v>473</v>
      </c>
      <c r="D80" s="12" t="s">
        <v>467</v>
      </c>
      <c r="E80" s="112" t="s">
        <v>478</v>
      </c>
      <c r="F80" s="10" t="s">
        <v>556</v>
      </c>
      <c r="G80" s="9"/>
      <c r="H80" s="9"/>
      <c r="I80" s="9"/>
      <c r="J80" s="9"/>
      <c r="K80" s="9"/>
    </row>
    <row r="81" spans="1:12" ht="15" customHeight="1" x14ac:dyDescent="0.2">
      <c r="A81" s="40">
        <v>45895</v>
      </c>
      <c r="B81" s="32" t="s">
        <v>480</v>
      </c>
      <c r="C81" s="38" t="s">
        <v>485</v>
      </c>
      <c r="D81" s="38" t="s">
        <v>467</v>
      </c>
      <c r="E81" s="38" t="s">
        <v>487</v>
      </c>
      <c r="F81" s="143" t="s">
        <v>556</v>
      </c>
      <c r="G81" s="23"/>
      <c r="H81" s="23"/>
      <c r="I81" s="23"/>
      <c r="J81" s="23"/>
      <c r="K81" s="23"/>
    </row>
    <row r="82" spans="1:12" ht="38.25" customHeight="1" x14ac:dyDescent="0.2">
      <c r="A82" s="40">
        <v>45904</v>
      </c>
      <c r="B82" s="129" t="s">
        <v>77</v>
      </c>
      <c r="C82" s="9" t="s">
        <v>557</v>
      </c>
      <c r="D82" s="10" t="s">
        <v>467</v>
      </c>
      <c r="E82" s="10" t="s">
        <v>452</v>
      </c>
      <c r="F82" s="10" t="s">
        <v>558</v>
      </c>
      <c r="G82" s="9"/>
      <c r="H82" s="9"/>
      <c r="I82" s="9"/>
      <c r="J82" s="9"/>
      <c r="K82" s="132" t="s">
        <v>559</v>
      </c>
      <c r="L82" s="9"/>
    </row>
    <row r="86" spans="1:12" ht="15" customHeight="1" thickBot="1" x14ac:dyDescent="0.25"/>
    <row r="87" spans="1:12" s="80" customFormat="1" ht="15" customHeight="1" x14ac:dyDescent="0.2">
      <c r="A87" s="77" t="s">
        <v>560</v>
      </c>
      <c r="B87" s="78"/>
      <c r="C87" s="78"/>
      <c r="D87" s="79"/>
      <c r="E87" s="81"/>
      <c r="F87" s="81"/>
    </row>
    <row r="88" spans="1:12" s="80" customFormat="1" ht="15" customHeight="1" x14ac:dyDescent="0.2">
      <c r="A88" s="82" t="s">
        <v>561</v>
      </c>
      <c r="D88" s="83"/>
      <c r="E88" s="81"/>
      <c r="F88" s="81"/>
    </row>
    <row r="89" spans="1:12" s="80" customFormat="1" ht="15" customHeight="1" thickBot="1" x14ac:dyDescent="0.25">
      <c r="A89" s="84" t="s">
        <v>562</v>
      </c>
      <c r="B89" s="85"/>
      <c r="C89" s="85"/>
      <c r="D89" s="86"/>
      <c r="E89" s="81"/>
      <c r="F89" s="81"/>
    </row>
  </sheetData>
  <autoFilter ref="A1:L37" xr:uid="{3031ED6A-EF15-4712-8FC6-DC94AB6979A8}"/>
  <pageMargins left="0.7" right="0.7" top="0.75" bottom="0.75" header="0.3" footer="0.3"/>
  <headerFooter>
    <oddFooter>&amp;C_x000D_&amp;1#&amp;"Calibri"&amp;8&amp;K000000 INTERNAL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D272-66E1-4758-AF6D-A1D9A9A87219}">
  <dimension ref="A1:H54"/>
  <sheetViews>
    <sheetView zoomScaleNormal="100" workbookViewId="0">
      <pane ySplit="1" topLeftCell="A30" activePane="bottomLeft" state="frozen"/>
      <selection pane="bottomLeft" activeCell="D18" sqref="D18"/>
    </sheetView>
  </sheetViews>
  <sheetFormatPr baseColWidth="10" defaultColWidth="10.83203125" defaultRowHeight="13" x14ac:dyDescent="0.2"/>
  <cols>
    <col min="1" max="1" width="4.5" style="244" bestFit="1" customWidth="1"/>
    <col min="2" max="2" width="26.5" style="216" bestFit="1" customWidth="1"/>
    <col min="3" max="3" width="15.5" style="216" customWidth="1"/>
    <col min="4" max="7" width="20.5" style="244" customWidth="1"/>
    <col min="8" max="8" width="24.5" style="216" customWidth="1"/>
    <col min="9" max="16384" width="10.83203125" style="216"/>
  </cols>
  <sheetData>
    <row r="1" spans="1:8" ht="70" x14ac:dyDescent="0.2">
      <c r="A1" s="245" t="s">
        <v>563</v>
      </c>
      <c r="B1" s="214" t="s">
        <v>564</v>
      </c>
      <c r="C1" s="214" t="s">
        <v>565</v>
      </c>
      <c r="D1" s="215" t="s">
        <v>566</v>
      </c>
      <c r="E1" s="215" t="s">
        <v>567</v>
      </c>
      <c r="F1" s="215" t="s">
        <v>568</v>
      </c>
      <c r="G1" s="215" t="s">
        <v>569</v>
      </c>
      <c r="H1" s="215" t="s">
        <v>570</v>
      </c>
    </row>
    <row r="2" spans="1:8" s="222" customFormat="1" ht="42" x14ac:dyDescent="0.2">
      <c r="A2" s="219">
        <v>1</v>
      </c>
      <c r="B2" s="217" t="s">
        <v>571</v>
      </c>
      <c r="C2" s="218" t="s">
        <v>572</v>
      </c>
      <c r="D2" s="219" t="s">
        <v>49</v>
      </c>
      <c r="E2" s="220" t="s">
        <v>49</v>
      </c>
      <c r="F2" s="220" t="s">
        <v>49</v>
      </c>
      <c r="G2" s="221" t="s">
        <v>125</v>
      </c>
      <c r="H2" s="220" t="s">
        <v>49</v>
      </c>
    </row>
    <row r="3" spans="1:8" s="222" customFormat="1" x14ac:dyDescent="0.2">
      <c r="A3" s="219">
        <v>2</v>
      </c>
      <c r="B3" s="223" t="s">
        <v>573</v>
      </c>
      <c r="C3" s="218" t="s">
        <v>574</v>
      </c>
      <c r="D3" s="219" t="s">
        <v>4</v>
      </c>
      <c r="E3" s="221" t="s">
        <v>49</v>
      </c>
      <c r="F3" s="221" t="s">
        <v>49</v>
      </c>
      <c r="G3" s="221" t="s">
        <v>49</v>
      </c>
      <c r="H3" s="221" t="s">
        <v>49</v>
      </c>
    </row>
    <row r="4" spans="1:8" s="222" customFormat="1" ht="28" x14ac:dyDescent="0.2">
      <c r="A4" s="219">
        <v>3</v>
      </c>
      <c r="B4" s="217" t="s">
        <v>575</v>
      </c>
      <c r="C4" s="218" t="s">
        <v>574</v>
      </c>
      <c r="D4" s="219" t="s">
        <v>4</v>
      </c>
      <c r="E4" s="221" t="s">
        <v>49</v>
      </c>
      <c r="F4" s="221" t="s">
        <v>49</v>
      </c>
      <c r="G4" s="221" t="s">
        <v>49</v>
      </c>
      <c r="H4" s="221" t="s">
        <v>49</v>
      </c>
    </row>
    <row r="5" spans="1:8" s="222" customFormat="1" ht="84" x14ac:dyDescent="0.2">
      <c r="A5" s="219">
        <v>4</v>
      </c>
      <c r="B5" s="217" t="s">
        <v>576</v>
      </c>
      <c r="C5" s="218" t="s">
        <v>577</v>
      </c>
      <c r="D5" s="219" t="s">
        <v>4</v>
      </c>
      <c r="E5" s="221" t="s">
        <v>49</v>
      </c>
      <c r="F5" s="221" t="s">
        <v>49</v>
      </c>
      <c r="G5" s="221" t="s">
        <v>49</v>
      </c>
      <c r="H5" s="221" t="s">
        <v>49</v>
      </c>
    </row>
    <row r="6" spans="1:8" s="222" customFormat="1" x14ac:dyDescent="0.2">
      <c r="A6" s="219">
        <v>5</v>
      </c>
      <c r="B6" s="223" t="s">
        <v>578</v>
      </c>
      <c r="C6" s="218" t="s">
        <v>577</v>
      </c>
      <c r="D6" s="219" t="s">
        <v>4</v>
      </c>
      <c r="E6" s="221" t="s">
        <v>125</v>
      </c>
      <c r="F6" s="221" t="s">
        <v>125</v>
      </c>
      <c r="G6" s="221" t="s">
        <v>125</v>
      </c>
      <c r="H6" s="221" t="s">
        <v>125</v>
      </c>
    </row>
    <row r="7" spans="1:8" s="222" customFormat="1" ht="56" x14ac:dyDescent="0.2">
      <c r="A7" s="219">
        <v>6</v>
      </c>
      <c r="B7" s="217" t="s">
        <v>579</v>
      </c>
      <c r="C7" s="218" t="s">
        <v>580</v>
      </c>
      <c r="D7" s="219" t="s">
        <v>4</v>
      </c>
      <c r="E7" s="221" t="s">
        <v>49</v>
      </c>
      <c r="F7" s="221" t="s">
        <v>49</v>
      </c>
      <c r="G7" s="221" t="s">
        <v>49</v>
      </c>
      <c r="H7" s="221" t="s">
        <v>49</v>
      </c>
    </row>
    <row r="8" spans="1:8" s="222" customFormat="1" x14ac:dyDescent="0.2">
      <c r="A8" s="219">
        <v>7</v>
      </c>
      <c r="B8" s="223" t="s">
        <v>581</v>
      </c>
      <c r="C8" s="218" t="s">
        <v>580</v>
      </c>
      <c r="D8" s="219" t="s">
        <v>4</v>
      </c>
      <c r="E8" s="221" t="s">
        <v>49</v>
      </c>
      <c r="F8" s="221" t="s">
        <v>49</v>
      </c>
      <c r="G8" s="221" t="s">
        <v>49</v>
      </c>
      <c r="H8" s="221" t="s">
        <v>49</v>
      </c>
    </row>
    <row r="9" spans="1:8" s="222" customFormat="1" x14ac:dyDescent="0.2">
      <c r="A9" s="219">
        <v>8</v>
      </c>
      <c r="B9" s="224" t="s">
        <v>582</v>
      </c>
      <c r="C9" s="218" t="s">
        <v>580</v>
      </c>
      <c r="D9" s="219" t="s">
        <v>4</v>
      </c>
      <c r="E9" s="221" t="s">
        <v>49</v>
      </c>
      <c r="F9" s="221" t="s">
        <v>49</v>
      </c>
      <c r="G9" s="221" t="s">
        <v>49</v>
      </c>
      <c r="H9" s="221" t="s">
        <v>49</v>
      </c>
    </row>
    <row r="10" spans="1:8" s="222" customFormat="1" x14ac:dyDescent="0.2">
      <c r="A10" s="219">
        <v>9</v>
      </c>
      <c r="B10" s="223" t="s">
        <v>583</v>
      </c>
      <c r="C10" s="218" t="s">
        <v>580</v>
      </c>
      <c r="D10" s="219" t="s">
        <v>4</v>
      </c>
      <c r="E10" s="221" t="s">
        <v>49</v>
      </c>
      <c r="F10" s="221" t="s">
        <v>49</v>
      </c>
      <c r="G10" s="221" t="s">
        <v>49</v>
      </c>
      <c r="H10" s="221" t="s">
        <v>49</v>
      </c>
    </row>
    <row r="11" spans="1:8" s="222" customFormat="1" x14ac:dyDescent="0.2">
      <c r="A11" s="219">
        <v>10</v>
      </c>
      <c r="B11" s="223" t="s">
        <v>584</v>
      </c>
      <c r="C11" s="218" t="s">
        <v>580</v>
      </c>
      <c r="D11" s="219" t="s">
        <v>4</v>
      </c>
      <c r="E11" s="221" t="s">
        <v>49</v>
      </c>
      <c r="F11" s="221" t="s">
        <v>49</v>
      </c>
      <c r="G11" s="221" t="s">
        <v>49</v>
      </c>
      <c r="H11" s="221" t="s">
        <v>49</v>
      </c>
    </row>
    <row r="12" spans="1:8" s="222" customFormat="1" x14ac:dyDescent="0.2">
      <c r="A12" s="219">
        <v>11</v>
      </c>
      <c r="B12" s="223" t="s">
        <v>585</v>
      </c>
      <c r="C12" s="218" t="s">
        <v>580</v>
      </c>
      <c r="D12" s="219" t="s">
        <v>4</v>
      </c>
      <c r="E12" s="221" t="s">
        <v>49</v>
      </c>
      <c r="F12" s="221" t="s">
        <v>49</v>
      </c>
      <c r="G12" s="221" t="s">
        <v>49</v>
      </c>
      <c r="H12" s="221" t="s">
        <v>49</v>
      </c>
    </row>
    <row r="13" spans="1:8" s="222" customFormat="1" x14ac:dyDescent="0.2">
      <c r="A13" s="219">
        <v>12</v>
      </c>
      <c r="B13" s="223" t="s">
        <v>586</v>
      </c>
      <c r="C13" s="218" t="s">
        <v>580</v>
      </c>
      <c r="D13" s="219" t="s">
        <v>4</v>
      </c>
      <c r="E13" s="221" t="s">
        <v>125</v>
      </c>
      <c r="F13" s="221" t="s">
        <v>125</v>
      </c>
      <c r="G13" s="221" t="s">
        <v>125</v>
      </c>
      <c r="H13" s="221" t="s">
        <v>125</v>
      </c>
    </row>
    <row r="14" spans="1:8" s="222" customFormat="1" x14ac:dyDescent="0.2">
      <c r="A14" s="219">
        <v>13</v>
      </c>
      <c r="B14" s="223" t="s">
        <v>587</v>
      </c>
      <c r="C14" s="218" t="s">
        <v>580</v>
      </c>
      <c r="D14" s="219" t="s">
        <v>4</v>
      </c>
      <c r="E14" s="221" t="s">
        <v>125</v>
      </c>
      <c r="F14" s="221" t="s">
        <v>125</v>
      </c>
      <c r="G14" s="221" t="s">
        <v>125</v>
      </c>
      <c r="H14" s="221" t="s">
        <v>125</v>
      </c>
    </row>
    <row r="15" spans="1:8" s="222" customFormat="1" ht="28" x14ac:dyDescent="0.2">
      <c r="A15" s="219">
        <v>14</v>
      </c>
      <c r="B15" s="217" t="s">
        <v>588</v>
      </c>
      <c r="C15" s="218" t="s">
        <v>589</v>
      </c>
      <c r="D15" s="219" t="s">
        <v>4</v>
      </c>
      <c r="E15" s="221" t="s">
        <v>49</v>
      </c>
      <c r="F15" s="221" t="s">
        <v>49</v>
      </c>
      <c r="G15" s="221" t="s">
        <v>125</v>
      </c>
      <c r="H15" s="221" t="s">
        <v>49</v>
      </c>
    </row>
    <row r="16" spans="1:8" s="222" customFormat="1" x14ac:dyDescent="0.2">
      <c r="A16" s="219">
        <v>15</v>
      </c>
      <c r="B16" s="223" t="s">
        <v>590</v>
      </c>
      <c r="C16" s="218" t="s">
        <v>591</v>
      </c>
      <c r="D16" s="219" t="s">
        <v>4</v>
      </c>
      <c r="E16" s="221" t="s">
        <v>49</v>
      </c>
      <c r="F16" s="221" t="s">
        <v>49</v>
      </c>
      <c r="G16" s="221" t="s">
        <v>49</v>
      </c>
      <c r="H16" s="221" t="s">
        <v>49</v>
      </c>
    </row>
    <row r="17" spans="1:8" s="222" customFormat="1" x14ac:dyDescent="0.2">
      <c r="A17" s="219">
        <v>16</v>
      </c>
      <c r="B17" s="223" t="s">
        <v>592</v>
      </c>
      <c r="C17" s="218" t="s">
        <v>591</v>
      </c>
      <c r="D17" s="219" t="s">
        <v>4</v>
      </c>
      <c r="E17" s="221" t="s">
        <v>49</v>
      </c>
      <c r="F17" s="221" t="s">
        <v>49</v>
      </c>
      <c r="G17" s="221" t="s">
        <v>49</v>
      </c>
      <c r="H17" s="221" t="s">
        <v>49</v>
      </c>
    </row>
    <row r="18" spans="1:8" s="222" customFormat="1" ht="56" x14ac:dyDescent="0.2">
      <c r="A18" s="219">
        <v>17</v>
      </c>
      <c r="B18" s="217" t="s">
        <v>593</v>
      </c>
      <c r="C18" s="218" t="s">
        <v>591</v>
      </c>
      <c r="D18" s="219" t="s">
        <v>49</v>
      </c>
      <c r="E18" s="221" t="s">
        <v>49</v>
      </c>
      <c r="F18" s="221" t="s">
        <v>49</v>
      </c>
      <c r="G18" s="221" t="s">
        <v>49</v>
      </c>
      <c r="H18" s="221" t="s">
        <v>49</v>
      </c>
    </row>
    <row r="19" spans="1:8" s="222" customFormat="1" x14ac:dyDescent="0.2">
      <c r="A19" s="219">
        <v>18</v>
      </c>
      <c r="B19" s="223" t="s">
        <v>594</v>
      </c>
      <c r="C19" s="218" t="s">
        <v>591</v>
      </c>
      <c r="D19" s="219" t="s">
        <v>4</v>
      </c>
      <c r="E19" s="221" t="s">
        <v>49</v>
      </c>
      <c r="F19" s="221" t="s">
        <v>49</v>
      </c>
      <c r="G19" s="221" t="s">
        <v>125</v>
      </c>
      <c r="H19" s="221" t="s">
        <v>49</v>
      </c>
    </row>
    <row r="20" spans="1:8" s="222" customFormat="1" x14ac:dyDescent="0.2">
      <c r="A20" s="219">
        <v>19</v>
      </c>
      <c r="B20" s="224" t="s">
        <v>595</v>
      </c>
      <c r="C20" s="225" t="s">
        <v>591</v>
      </c>
      <c r="D20" s="219" t="s">
        <v>4</v>
      </c>
      <c r="E20" s="221" t="s">
        <v>49</v>
      </c>
      <c r="F20" s="221" t="s">
        <v>49</v>
      </c>
      <c r="G20" s="221" t="s">
        <v>49</v>
      </c>
      <c r="H20" s="221" t="s">
        <v>49</v>
      </c>
    </row>
    <row r="21" spans="1:8" s="222" customFormat="1" x14ac:dyDescent="0.2">
      <c r="A21" s="219">
        <v>20</v>
      </c>
      <c r="B21" s="223" t="s">
        <v>596</v>
      </c>
      <c r="C21" s="226" t="s">
        <v>597</v>
      </c>
      <c r="D21" s="219" t="s">
        <v>4</v>
      </c>
      <c r="E21" s="221" t="s">
        <v>125</v>
      </c>
      <c r="F21" s="221" t="s">
        <v>125</v>
      </c>
      <c r="G21" s="221" t="s">
        <v>125</v>
      </c>
      <c r="H21" s="221" t="s">
        <v>125</v>
      </c>
    </row>
    <row r="22" spans="1:8" s="222" customFormat="1" x14ac:dyDescent="0.2">
      <c r="A22" s="219">
        <v>21</v>
      </c>
      <c r="B22" s="223" t="s">
        <v>598</v>
      </c>
      <c r="C22" s="218" t="s">
        <v>597</v>
      </c>
      <c r="D22" s="219" t="s">
        <v>4</v>
      </c>
      <c r="E22" s="221" t="s">
        <v>125</v>
      </c>
      <c r="F22" s="221" t="s">
        <v>125</v>
      </c>
      <c r="G22" s="221" t="s">
        <v>125</v>
      </c>
      <c r="H22" s="221" t="s">
        <v>125</v>
      </c>
    </row>
    <row r="23" spans="1:8" s="222" customFormat="1" x14ac:dyDescent="0.2">
      <c r="A23" s="219">
        <v>22</v>
      </c>
      <c r="B23" s="223" t="s">
        <v>599</v>
      </c>
      <c r="C23" s="218" t="s">
        <v>600</v>
      </c>
      <c r="D23" s="219" t="s">
        <v>4</v>
      </c>
      <c r="E23" s="221" t="s">
        <v>125</v>
      </c>
      <c r="F23" s="221" t="s">
        <v>125</v>
      </c>
      <c r="G23" s="221" t="s">
        <v>125</v>
      </c>
      <c r="H23" s="221" t="s">
        <v>125</v>
      </c>
    </row>
    <row r="24" spans="1:8" s="222" customFormat="1" x14ac:dyDescent="0.2">
      <c r="A24" s="219">
        <v>23</v>
      </c>
      <c r="B24" s="223" t="s">
        <v>601</v>
      </c>
      <c r="C24" s="218" t="s">
        <v>600</v>
      </c>
      <c r="D24" s="219" t="s">
        <v>49</v>
      </c>
      <c r="E24" s="221" t="s">
        <v>49</v>
      </c>
      <c r="F24" s="221" t="s">
        <v>49</v>
      </c>
      <c r="G24" s="221" t="s">
        <v>49</v>
      </c>
      <c r="H24" s="221" t="s">
        <v>49</v>
      </c>
    </row>
    <row r="25" spans="1:8" s="222" customFormat="1" ht="28" x14ac:dyDescent="0.2">
      <c r="A25" s="219">
        <v>24</v>
      </c>
      <c r="B25" s="223" t="s">
        <v>602</v>
      </c>
      <c r="C25" s="218" t="s">
        <v>600</v>
      </c>
      <c r="D25" s="227" t="s">
        <v>603</v>
      </c>
      <c r="E25" s="221" t="s">
        <v>49</v>
      </c>
      <c r="F25" s="221" t="s">
        <v>49</v>
      </c>
      <c r="G25" s="221" t="s">
        <v>125</v>
      </c>
      <c r="H25" s="221" t="s">
        <v>49</v>
      </c>
    </row>
    <row r="26" spans="1:8" s="222" customFormat="1" x14ac:dyDescent="0.2">
      <c r="A26" s="219">
        <v>25</v>
      </c>
      <c r="B26" s="224" t="s">
        <v>604</v>
      </c>
      <c r="C26" s="218" t="s">
        <v>600</v>
      </c>
      <c r="D26" s="219" t="s">
        <v>4</v>
      </c>
      <c r="E26" s="228" t="s">
        <v>49</v>
      </c>
      <c r="F26" s="228" t="s">
        <v>49</v>
      </c>
      <c r="G26" s="229" t="s">
        <v>49</v>
      </c>
      <c r="H26" s="228" t="s">
        <v>49</v>
      </c>
    </row>
    <row r="27" spans="1:8" s="222" customFormat="1" ht="14" x14ac:dyDescent="0.2">
      <c r="A27" s="219">
        <v>26</v>
      </c>
      <c r="B27" s="223" t="s">
        <v>605</v>
      </c>
      <c r="C27" s="218" t="s">
        <v>606</v>
      </c>
      <c r="D27" s="219" t="s">
        <v>4</v>
      </c>
      <c r="E27" s="230" t="s">
        <v>49</v>
      </c>
      <c r="F27" s="231" t="s">
        <v>49</v>
      </c>
      <c r="G27" s="230" t="s">
        <v>125</v>
      </c>
      <c r="H27" s="230" t="s">
        <v>49</v>
      </c>
    </row>
    <row r="28" spans="1:8" s="222" customFormat="1" x14ac:dyDescent="0.2">
      <c r="A28" s="219">
        <v>27</v>
      </c>
      <c r="B28" s="232" t="s">
        <v>607</v>
      </c>
      <c r="C28" s="225" t="s">
        <v>606</v>
      </c>
      <c r="D28" s="219" t="s">
        <v>49</v>
      </c>
      <c r="E28" s="233" t="s">
        <v>49</v>
      </c>
      <c r="F28" s="233" t="s">
        <v>49</v>
      </c>
      <c r="G28" s="233" t="s">
        <v>125</v>
      </c>
      <c r="H28" s="233" t="s">
        <v>49</v>
      </c>
    </row>
    <row r="29" spans="1:8" s="222" customFormat="1" x14ac:dyDescent="0.2">
      <c r="A29" s="219">
        <v>28</v>
      </c>
      <c r="B29" s="234" t="s">
        <v>608</v>
      </c>
      <c r="C29" s="235" t="s">
        <v>606</v>
      </c>
      <c r="D29" s="219" t="s">
        <v>4</v>
      </c>
      <c r="E29" s="233" t="s">
        <v>49</v>
      </c>
      <c r="F29" s="233" t="s">
        <v>49</v>
      </c>
      <c r="G29" s="233" t="s">
        <v>125</v>
      </c>
      <c r="H29" s="233" t="s">
        <v>49</v>
      </c>
    </row>
    <row r="30" spans="1:8" s="222" customFormat="1" ht="42" x14ac:dyDescent="0.2">
      <c r="A30" s="219">
        <v>29</v>
      </c>
      <c r="B30" s="236" t="s">
        <v>609</v>
      </c>
      <c r="C30" s="237" t="s">
        <v>606</v>
      </c>
      <c r="D30" s="219" t="s">
        <v>4</v>
      </c>
      <c r="E30" s="233" t="s">
        <v>49</v>
      </c>
      <c r="F30" s="238" t="s">
        <v>610</v>
      </c>
      <c r="G30" s="233" t="s">
        <v>125</v>
      </c>
      <c r="H30" s="233" t="s">
        <v>49</v>
      </c>
    </row>
    <row r="31" spans="1:8" s="222" customFormat="1" x14ac:dyDescent="0.2">
      <c r="A31" s="219">
        <v>30</v>
      </c>
      <c r="B31" s="239" t="s">
        <v>611</v>
      </c>
      <c r="C31" s="237" t="s">
        <v>606</v>
      </c>
      <c r="D31" s="219" t="s">
        <v>4</v>
      </c>
      <c r="E31" s="233" t="s">
        <v>125</v>
      </c>
      <c r="F31" s="233" t="s">
        <v>125</v>
      </c>
      <c r="G31" s="233" t="s">
        <v>125</v>
      </c>
      <c r="H31" s="233" t="s">
        <v>125</v>
      </c>
    </row>
    <row r="32" spans="1:8" s="222" customFormat="1" x14ac:dyDescent="0.2">
      <c r="A32" s="219">
        <v>31</v>
      </c>
      <c r="B32" s="234" t="s">
        <v>612</v>
      </c>
      <c r="C32" s="237" t="s">
        <v>606</v>
      </c>
      <c r="D32" s="219" t="s">
        <v>4</v>
      </c>
      <c r="E32" s="233" t="s">
        <v>125</v>
      </c>
      <c r="F32" s="233" t="s">
        <v>125</v>
      </c>
      <c r="G32" s="233" t="s">
        <v>49</v>
      </c>
      <c r="H32" s="233" t="s">
        <v>125</v>
      </c>
    </row>
    <row r="33" spans="1:8" s="222" customFormat="1" ht="28" x14ac:dyDescent="0.2">
      <c r="A33" s="219">
        <v>32</v>
      </c>
      <c r="B33" s="240" t="s">
        <v>613</v>
      </c>
      <c r="C33" s="237" t="s">
        <v>614</v>
      </c>
      <c r="D33" s="241" t="s">
        <v>603</v>
      </c>
      <c r="E33" s="233" t="s">
        <v>49</v>
      </c>
      <c r="F33" s="242" t="s">
        <v>49</v>
      </c>
      <c r="G33" s="233" t="s">
        <v>125</v>
      </c>
      <c r="H33" s="233" t="s">
        <v>49</v>
      </c>
    </row>
    <row r="34" spans="1:8" s="222" customFormat="1" x14ac:dyDescent="0.2">
      <c r="A34" s="219">
        <v>33</v>
      </c>
      <c r="B34" s="224" t="s">
        <v>615</v>
      </c>
      <c r="C34" s="237" t="s">
        <v>606</v>
      </c>
      <c r="D34" s="219" t="s">
        <v>4</v>
      </c>
      <c r="E34" s="233" t="s">
        <v>49</v>
      </c>
      <c r="F34" s="233" t="s">
        <v>125</v>
      </c>
      <c r="G34" s="233" t="s">
        <v>49</v>
      </c>
      <c r="H34" s="233" t="s">
        <v>49</v>
      </c>
    </row>
    <row r="35" spans="1:8" s="222" customFormat="1" x14ac:dyDescent="0.2">
      <c r="A35" s="219">
        <v>34</v>
      </c>
      <c r="B35" s="224" t="s">
        <v>616</v>
      </c>
      <c r="C35" s="237" t="s">
        <v>606</v>
      </c>
      <c r="D35" s="219" t="s">
        <v>4</v>
      </c>
      <c r="E35" s="233" t="s">
        <v>125</v>
      </c>
      <c r="F35" s="233" t="s">
        <v>125</v>
      </c>
      <c r="G35" s="233" t="s">
        <v>125</v>
      </c>
      <c r="H35" s="233" t="s">
        <v>125</v>
      </c>
    </row>
    <row r="36" spans="1:8" s="222" customFormat="1" ht="28" x14ac:dyDescent="0.2">
      <c r="A36" s="219">
        <v>35</v>
      </c>
      <c r="B36" s="224" t="s">
        <v>617</v>
      </c>
      <c r="C36" s="237" t="s">
        <v>618</v>
      </c>
      <c r="D36" s="219" t="s">
        <v>4</v>
      </c>
      <c r="E36" s="233" t="s">
        <v>49</v>
      </c>
      <c r="F36" s="238" t="s">
        <v>619</v>
      </c>
      <c r="G36" s="233" t="s">
        <v>125</v>
      </c>
      <c r="H36" s="233" t="s">
        <v>49</v>
      </c>
    </row>
    <row r="37" spans="1:8" s="222" customFormat="1" ht="56" x14ac:dyDescent="0.2">
      <c r="A37" s="219">
        <v>36</v>
      </c>
      <c r="B37" s="236" t="s">
        <v>620</v>
      </c>
      <c r="C37" s="237" t="s">
        <v>621</v>
      </c>
      <c r="D37" s="243" t="s">
        <v>622</v>
      </c>
      <c r="E37" s="233" t="s">
        <v>49</v>
      </c>
      <c r="F37" s="233" t="s">
        <v>49</v>
      </c>
      <c r="G37" s="233" t="s">
        <v>125</v>
      </c>
      <c r="H37" s="233" t="s">
        <v>49</v>
      </c>
    </row>
    <row r="38" spans="1:8" s="222" customFormat="1" x14ac:dyDescent="0.2">
      <c r="A38" s="219">
        <v>37</v>
      </c>
      <c r="B38" s="224" t="s">
        <v>623</v>
      </c>
      <c r="C38" s="237" t="s">
        <v>624</v>
      </c>
      <c r="D38" s="219" t="s">
        <v>49</v>
      </c>
      <c r="E38" s="233" t="s">
        <v>49</v>
      </c>
      <c r="F38" s="233" t="s">
        <v>49</v>
      </c>
      <c r="G38" s="233" t="s">
        <v>49</v>
      </c>
      <c r="H38" s="233" t="s">
        <v>49</v>
      </c>
    </row>
    <row r="39" spans="1:8" s="222" customFormat="1" x14ac:dyDescent="0.2">
      <c r="A39" s="219">
        <v>38</v>
      </c>
      <c r="B39" s="224" t="s">
        <v>625</v>
      </c>
      <c r="C39" s="237" t="s">
        <v>624</v>
      </c>
      <c r="D39" s="219" t="s">
        <v>4</v>
      </c>
      <c r="E39" s="233" t="s">
        <v>49</v>
      </c>
      <c r="F39" s="233" t="s">
        <v>49</v>
      </c>
      <c r="G39" s="233" t="s">
        <v>49</v>
      </c>
      <c r="H39" s="233" t="s">
        <v>49</v>
      </c>
    </row>
    <row r="40" spans="1:8" s="222" customFormat="1" x14ac:dyDescent="0.2">
      <c r="A40" s="219">
        <v>39</v>
      </c>
      <c r="B40" s="224" t="s">
        <v>626</v>
      </c>
      <c r="C40" s="237" t="s">
        <v>624</v>
      </c>
      <c r="D40" s="219" t="s">
        <v>4</v>
      </c>
      <c r="E40" s="233" t="s">
        <v>125</v>
      </c>
      <c r="F40" s="233" t="s">
        <v>125</v>
      </c>
      <c r="G40" s="233" t="s">
        <v>125</v>
      </c>
      <c r="H40" s="233" t="s">
        <v>125</v>
      </c>
    </row>
    <row r="41" spans="1:8" s="222" customFormat="1" x14ac:dyDescent="0.2">
      <c r="A41" s="219">
        <v>40</v>
      </c>
      <c r="B41" s="224" t="s">
        <v>627</v>
      </c>
      <c r="C41" s="237" t="s">
        <v>624</v>
      </c>
      <c r="D41" s="219" t="s">
        <v>49</v>
      </c>
      <c r="E41" s="233" t="s">
        <v>49</v>
      </c>
      <c r="F41" s="233" t="s">
        <v>49</v>
      </c>
      <c r="G41" s="233" t="s">
        <v>49</v>
      </c>
      <c r="H41" s="233" t="s">
        <v>49</v>
      </c>
    </row>
    <row r="42" spans="1:8" s="222" customFormat="1" x14ac:dyDescent="0.2">
      <c r="A42" s="219">
        <v>41</v>
      </c>
      <c r="B42" s="224" t="s">
        <v>628</v>
      </c>
      <c r="C42" s="218" t="s">
        <v>629</v>
      </c>
      <c r="D42" s="219" t="s">
        <v>4</v>
      </c>
      <c r="E42" s="233" t="s">
        <v>125</v>
      </c>
      <c r="F42" s="233" t="s">
        <v>125</v>
      </c>
      <c r="G42" s="233" t="s">
        <v>125</v>
      </c>
      <c r="H42" s="233" t="s">
        <v>125</v>
      </c>
    </row>
    <row r="43" spans="1:8" s="222" customFormat="1" x14ac:dyDescent="0.2">
      <c r="A43" s="219">
        <v>42</v>
      </c>
      <c r="B43" s="224" t="s">
        <v>630</v>
      </c>
      <c r="C43" s="218" t="s">
        <v>629</v>
      </c>
      <c r="D43" s="219" t="s">
        <v>4</v>
      </c>
      <c r="E43" s="233" t="s">
        <v>125</v>
      </c>
      <c r="F43" s="233" t="s">
        <v>125</v>
      </c>
      <c r="G43" s="233" t="s">
        <v>125</v>
      </c>
      <c r="H43" s="233" t="s">
        <v>125</v>
      </c>
    </row>
    <row r="44" spans="1:8" s="222" customFormat="1" x14ac:dyDescent="0.2">
      <c r="A44" s="219">
        <v>43</v>
      </c>
      <c r="B44" s="224" t="s">
        <v>631</v>
      </c>
      <c r="C44" s="237" t="s">
        <v>632</v>
      </c>
      <c r="D44" s="219" t="s">
        <v>4</v>
      </c>
      <c r="E44" s="233" t="s">
        <v>49</v>
      </c>
      <c r="F44" s="242" t="s">
        <v>49</v>
      </c>
      <c r="G44" s="233" t="s">
        <v>49</v>
      </c>
      <c r="H44" s="233" t="s">
        <v>49</v>
      </c>
    </row>
    <row r="45" spans="1:8" s="222" customFormat="1" x14ac:dyDescent="0.2">
      <c r="A45" s="219">
        <v>44</v>
      </c>
      <c r="B45" s="224" t="s">
        <v>633</v>
      </c>
      <c r="C45" s="237" t="s">
        <v>634</v>
      </c>
      <c r="D45" s="219" t="s">
        <v>4</v>
      </c>
      <c r="E45" s="233" t="s">
        <v>49</v>
      </c>
      <c r="F45" s="242" t="s">
        <v>49</v>
      </c>
      <c r="G45" s="233" t="s">
        <v>125</v>
      </c>
      <c r="H45" s="233" t="s">
        <v>49</v>
      </c>
    </row>
    <row r="46" spans="1:8" s="222" customFormat="1" x14ac:dyDescent="0.2">
      <c r="A46" s="219">
        <v>45</v>
      </c>
      <c r="B46" s="224" t="s">
        <v>635</v>
      </c>
      <c r="C46" s="237" t="s">
        <v>629</v>
      </c>
      <c r="D46" s="219" t="s">
        <v>4</v>
      </c>
      <c r="E46" s="233" t="s">
        <v>125</v>
      </c>
      <c r="F46" s="233" t="s">
        <v>125</v>
      </c>
      <c r="G46" s="233" t="s">
        <v>125</v>
      </c>
      <c r="H46" s="233" t="s">
        <v>125</v>
      </c>
    </row>
    <row r="47" spans="1:8" s="222" customFormat="1" x14ac:dyDescent="0.2">
      <c r="A47" s="219">
        <v>46</v>
      </c>
      <c r="B47" s="224" t="s">
        <v>636</v>
      </c>
      <c r="C47" s="237" t="s">
        <v>629</v>
      </c>
      <c r="D47" s="219" t="s">
        <v>4</v>
      </c>
      <c r="E47" s="233" t="s">
        <v>125</v>
      </c>
      <c r="F47" s="233" t="s">
        <v>125</v>
      </c>
      <c r="G47" s="233" t="s">
        <v>125</v>
      </c>
      <c r="H47" s="233" t="s">
        <v>125</v>
      </c>
    </row>
    <row r="48" spans="1:8" s="222" customFormat="1" ht="28" x14ac:dyDescent="0.2">
      <c r="A48" s="219">
        <v>47</v>
      </c>
      <c r="B48" s="240" t="s">
        <v>637</v>
      </c>
      <c r="C48" s="237" t="s">
        <v>4</v>
      </c>
      <c r="D48" s="227" t="s">
        <v>603</v>
      </c>
      <c r="E48" s="233" t="s">
        <v>4</v>
      </c>
      <c r="F48" s="233" t="s">
        <v>4</v>
      </c>
      <c r="G48" s="233" t="s">
        <v>4</v>
      </c>
      <c r="H48" s="233" t="s">
        <v>4</v>
      </c>
    </row>
    <row r="49" spans="1:8" s="222" customFormat="1" ht="28" x14ac:dyDescent="0.2">
      <c r="A49" s="219">
        <v>48</v>
      </c>
      <c r="B49" s="240" t="s">
        <v>638</v>
      </c>
      <c r="C49" s="237" t="s">
        <v>4</v>
      </c>
      <c r="D49" s="227" t="s">
        <v>603</v>
      </c>
      <c r="E49" s="233" t="s">
        <v>4</v>
      </c>
      <c r="F49" s="233" t="s">
        <v>4</v>
      </c>
      <c r="G49" s="233" t="s">
        <v>4</v>
      </c>
      <c r="H49" s="233" t="s">
        <v>4</v>
      </c>
    </row>
    <row r="50" spans="1:8" s="222" customFormat="1" ht="28" x14ac:dyDescent="0.2">
      <c r="A50" s="219">
        <v>49</v>
      </c>
      <c r="B50" s="240" t="s">
        <v>639</v>
      </c>
      <c r="C50" s="237" t="s">
        <v>4</v>
      </c>
      <c r="D50" s="241" t="s">
        <v>603</v>
      </c>
      <c r="E50" s="233" t="s">
        <v>4</v>
      </c>
      <c r="F50" s="233" t="s">
        <v>4</v>
      </c>
      <c r="G50" s="233" t="s">
        <v>4</v>
      </c>
      <c r="H50" s="233" t="s">
        <v>4</v>
      </c>
    </row>
    <row r="51" spans="1:8" s="222" customFormat="1" x14ac:dyDescent="0.2">
      <c r="A51" s="219">
        <v>50</v>
      </c>
      <c r="B51" s="224" t="s">
        <v>640</v>
      </c>
      <c r="C51" s="237" t="s">
        <v>4</v>
      </c>
      <c r="D51" s="219" t="s">
        <v>49</v>
      </c>
      <c r="E51" s="233" t="s">
        <v>4</v>
      </c>
      <c r="F51" s="233" t="s">
        <v>4</v>
      </c>
      <c r="G51" s="233" t="s">
        <v>4</v>
      </c>
      <c r="H51" s="233" t="s">
        <v>4</v>
      </c>
    </row>
    <row r="52" spans="1:8" s="222" customFormat="1" x14ac:dyDescent="0.2">
      <c r="A52" s="219" t="s">
        <v>4</v>
      </c>
      <c r="B52" s="224" t="s">
        <v>4</v>
      </c>
      <c r="C52" s="237" t="s">
        <v>4</v>
      </c>
      <c r="D52" s="219" t="s">
        <v>4</v>
      </c>
      <c r="E52" s="233" t="s">
        <v>4</v>
      </c>
      <c r="F52" s="233" t="s">
        <v>4</v>
      </c>
      <c r="G52" s="233" t="s">
        <v>4</v>
      </c>
      <c r="H52" s="233" t="s">
        <v>4</v>
      </c>
    </row>
    <row r="53" spans="1:8" s="222" customFormat="1" x14ac:dyDescent="0.2">
      <c r="A53" s="219" t="s">
        <v>4</v>
      </c>
      <c r="B53" s="224" t="s">
        <v>4</v>
      </c>
      <c r="C53" s="237" t="s">
        <v>4</v>
      </c>
      <c r="D53" s="219" t="s">
        <v>4</v>
      </c>
      <c r="E53" s="233" t="s">
        <v>4</v>
      </c>
      <c r="F53" s="233" t="s">
        <v>4</v>
      </c>
      <c r="G53" s="233" t="s">
        <v>4</v>
      </c>
      <c r="H53" s="233" t="s">
        <v>4</v>
      </c>
    </row>
    <row r="54" spans="1:8" s="222" customFormat="1" x14ac:dyDescent="0.2">
      <c r="A54" s="219" t="s">
        <v>4</v>
      </c>
      <c r="B54" s="224" t="s">
        <v>4</v>
      </c>
      <c r="C54" s="237" t="s">
        <v>4</v>
      </c>
      <c r="D54" s="219" t="s">
        <v>4</v>
      </c>
      <c r="E54" s="233" t="s">
        <v>4</v>
      </c>
      <c r="F54" s="233" t="s">
        <v>4</v>
      </c>
      <c r="G54" s="233" t="s">
        <v>4</v>
      </c>
      <c r="H54" s="233" t="s">
        <v>4</v>
      </c>
    </row>
  </sheetData>
  <autoFilter ref="A1:G54" xr:uid="{5546D272-66E1-4758-AF6D-A1D9A9A87219}"/>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5ECD-8303-114A-B4B1-56BB374994E1}">
  <sheetPr filterMode="1"/>
  <dimension ref="A1:U94"/>
  <sheetViews>
    <sheetView zoomScale="130" zoomScaleNormal="130" workbookViewId="0">
      <pane ySplit="1" topLeftCell="A2" activePane="bottomLeft" state="frozen"/>
      <selection pane="bottomLeft" activeCell="C52" sqref="B2:C52"/>
    </sheetView>
  </sheetViews>
  <sheetFormatPr baseColWidth="10" defaultColWidth="11.5" defaultRowHeight="15" outlineLevelCol="1" x14ac:dyDescent="0.2"/>
  <cols>
    <col min="1" max="1" width="6.5" customWidth="1"/>
    <col min="2" max="2" width="51.5" customWidth="1"/>
    <col min="3" max="3" width="17.83203125" customWidth="1"/>
    <col min="4" max="4" width="8.5" style="34" customWidth="1"/>
    <col min="5" max="6" width="10.5" style="34" customWidth="1"/>
    <col min="7" max="7" width="22" style="34" customWidth="1"/>
    <col min="8" max="8" width="10.5" style="34" customWidth="1" outlineLevel="1"/>
    <col min="9" max="10" width="10" style="34" customWidth="1" outlineLevel="1"/>
    <col min="11" max="11" width="11" style="34" customWidth="1" outlineLevel="1"/>
    <col min="12" max="12" width="13.5" style="34" customWidth="1" outlineLevel="1"/>
    <col min="13" max="13" width="11.5" style="34" customWidth="1" outlineLevel="1"/>
    <col min="14" max="14" width="11" style="34" customWidth="1" outlineLevel="1"/>
    <col min="15" max="18" width="11" style="34" customWidth="1"/>
    <col min="19" max="20" width="15.5" style="8" customWidth="1"/>
    <col min="21" max="21" width="22.5" customWidth="1"/>
  </cols>
  <sheetData>
    <row r="1" spans="1:21" s="70" customFormat="1" ht="48" x14ac:dyDescent="0.2">
      <c r="A1" s="139" t="s">
        <v>563</v>
      </c>
      <c r="B1" s="139" t="s">
        <v>564</v>
      </c>
      <c r="C1" s="139" t="s">
        <v>565</v>
      </c>
      <c r="D1" s="139" t="s">
        <v>641</v>
      </c>
      <c r="E1" s="140" t="s">
        <v>642</v>
      </c>
      <c r="F1" s="140" t="s">
        <v>643</v>
      </c>
      <c r="G1" s="140" t="s">
        <v>644</v>
      </c>
      <c r="H1" s="103" t="s">
        <v>645</v>
      </c>
      <c r="I1" s="103" t="s">
        <v>646</v>
      </c>
      <c r="J1" s="103" t="s">
        <v>647</v>
      </c>
      <c r="K1" s="103" t="s">
        <v>648</v>
      </c>
      <c r="L1" s="104" t="s">
        <v>649</v>
      </c>
      <c r="M1" s="103" t="s">
        <v>650</v>
      </c>
      <c r="N1" s="457" t="s">
        <v>651</v>
      </c>
      <c r="O1" s="139" t="s">
        <v>652</v>
      </c>
      <c r="P1" s="139" t="s">
        <v>653</v>
      </c>
      <c r="Q1" s="139" t="s">
        <v>654</v>
      </c>
      <c r="R1" s="139" t="s">
        <v>655</v>
      </c>
      <c r="S1" s="141" t="s">
        <v>656</v>
      </c>
      <c r="T1" s="141" t="s">
        <v>657</v>
      </c>
      <c r="U1" s="141" t="s">
        <v>658</v>
      </c>
    </row>
    <row r="2" spans="1:21" x14ac:dyDescent="0.2">
      <c r="A2" s="14">
        <v>13</v>
      </c>
      <c r="B2" s="1" t="s">
        <v>587</v>
      </c>
      <c r="C2" s="1" t="s">
        <v>580</v>
      </c>
      <c r="D2" s="14">
        <v>4</v>
      </c>
      <c r="E2" s="119"/>
      <c r="F2" s="119"/>
      <c r="G2" s="119"/>
      <c r="H2" s="123" t="s">
        <v>125</v>
      </c>
      <c r="I2" s="123" t="s">
        <v>125</v>
      </c>
      <c r="J2" s="120" t="s">
        <v>125</v>
      </c>
      <c r="K2" s="14" t="s">
        <v>125</v>
      </c>
      <c r="L2" s="14"/>
      <c r="M2" s="14" t="s">
        <v>125</v>
      </c>
      <c r="N2" s="121" t="s">
        <v>125</v>
      </c>
      <c r="O2" s="14" t="s">
        <v>125</v>
      </c>
      <c r="P2" s="14"/>
      <c r="Q2" s="14"/>
      <c r="R2" s="14"/>
      <c r="S2" s="14"/>
      <c r="T2" s="14"/>
      <c r="U2" s="1"/>
    </row>
    <row r="3" spans="1:21" x14ac:dyDescent="0.2">
      <c r="A3" s="14">
        <v>19</v>
      </c>
      <c r="B3" s="1" t="s">
        <v>595</v>
      </c>
      <c r="C3" s="1" t="s">
        <v>591</v>
      </c>
      <c r="D3" s="14">
        <v>2</v>
      </c>
      <c r="E3" s="119"/>
      <c r="F3" s="119"/>
      <c r="G3" s="119"/>
      <c r="H3" s="123" t="s">
        <v>49</v>
      </c>
      <c r="I3" s="123" t="s">
        <v>49</v>
      </c>
      <c r="J3" s="120" t="s">
        <v>49</v>
      </c>
      <c r="K3" s="14" t="s">
        <v>49</v>
      </c>
      <c r="L3" s="14"/>
      <c r="M3" s="14" t="s">
        <v>49</v>
      </c>
      <c r="N3" s="121" t="s">
        <v>49</v>
      </c>
      <c r="O3" s="14" t="s">
        <v>125</v>
      </c>
      <c r="P3" s="14"/>
      <c r="Q3" s="14"/>
      <c r="R3" s="14"/>
      <c r="S3" s="276" t="s">
        <v>50</v>
      </c>
      <c r="T3" s="277" t="s">
        <v>659</v>
      </c>
      <c r="U3" s="1"/>
    </row>
    <row r="4" spans="1:21" s="64" customFormat="1" ht="48" hidden="1" x14ac:dyDescent="0.2">
      <c r="A4" s="14">
        <v>43</v>
      </c>
      <c r="B4" s="476" t="s">
        <v>631</v>
      </c>
      <c r="C4" s="47" t="s">
        <v>632</v>
      </c>
      <c r="D4" s="14">
        <v>3</v>
      </c>
      <c r="E4" s="119">
        <v>45915</v>
      </c>
      <c r="F4" s="119">
        <v>45964</v>
      </c>
      <c r="G4" s="119">
        <v>46027</v>
      </c>
      <c r="H4" s="14" t="s">
        <v>125</v>
      </c>
      <c r="I4" s="14" t="s">
        <v>125</v>
      </c>
      <c r="J4" s="120" t="s">
        <v>125</v>
      </c>
      <c r="K4" s="14" t="s">
        <v>125</v>
      </c>
      <c r="L4" s="14"/>
      <c r="M4" s="14" t="s">
        <v>49</v>
      </c>
      <c r="N4" s="121" t="s">
        <v>49</v>
      </c>
      <c r="O4" s="18" t="s">
        <v>660</v>
      </c>
      <c r="P4" s="18" t="s">
        <v>125</v>
      </c>
      <c r="Q4" s="18" t="s">
        <v>125</v>
      </c>
      <c r="R4" s="18" t="s">
        <v>125</v>
      </c>
      <c r="S4" s="14"/>
      <c r="T4" s="14"/>
      <c r="U4" s="16" t="s">
        <v>661</v>
      </c>
    </row>
    <row r="5" spans="1:21" x14ac:dyDescent="0.2">
      <c r="A5" s="14">
        <v>5</v>
      </c>
      <c r="B5" s="1" t="s">
        <v>578</v>
      </c>
      <c r="C5" s="1" t="s">
        <v>577</v>
      </c>
      <c r="D5" s="14">
        <v>4</v>
      </c>
      <c r="E5" s="119"/>
      <c r="F5" s="119"/>
      <c r="G5" s="119"/>
      <c r="H5" s="14" t="s">
        <v>125</v>
      </c>
      <c r="I5" s="14" t="s">
        <v>125</v>
      </c>
      <c r="J5" s="120" t="s">
        <v>125</v>
      </c>
      <c r="K5" s="14" t="s">
        <v>125</v>
      </c>
      <c r="L5" s="14"/>
      <c r="M5" s="14" t="s">
        <v>125</v>
      </c>
      <c r="N5" s="121" t="s">
        <v>125</v>
      </c>
      <c r="O5" s="14" t="s">
        <v>125</v>
      </c>
      <c r="P5" s="14" t="s">
        <v>49</v>
      </c>
      <c r="Q5" s="14" t="s">
        <v>49</v>
      </c>
      <c r="R5" s="14" t="s">
        <v>49</v>
      </c>
      <c r="S5" s="95" t="s">
        <v>662</v>
      </c>
      <c r="T5" s="95"/>
      <c r="U5" s="1"/>
    </row>
    <row r="6" spans="1:21" hidden="1" x14ac:dyDescent="0.2">
      <c r="A6" s="14">
        <v>33</v>
      </c>
      <c r="B6" s="1" t="s">
        <v>615</v>
      </c>
      <c r="C6" s="1" t="s">
        <v>606</v>
      </c>
      <c r="D6" s="14">
        <v>1</v>
      </c>
      <c r="E6" s="119">
        <v>45901</v>
      </c>
      <c r="F6" s="119">
        <v>45931</v>
      </c>
      <c r="G6" s="119">
        <v>45964</v>
      </c>
      <c r="H6" s="14" t="s">
        <v>125</v>
      </c>
      <c r="I6" s="14" t="s">
        <v>125</v>
      </c>
      <c r="J6" s="120" t="s">
        <v>125</v>
      </c>
      <c r="K6" s="14" t="s">
        <v>125</v>
      </c>
      <c r="L6" s="14"/>
      <c r="M6" s="14" t="s">
        <v>49</v>
      </c>
      <c r="N6" s="121" t="s">
        <v>49</v>
      </c>
      <c r="O6" s="14" t="s">
        <v>49</v>
      </c>
      <c r="P6" s="14"/>
      <c r="Q6" s="14"/>
      <c r="R6" s="14"/>
      <c r="S6" s="276" t="s">
        <v>50</v>
      </c>
      <c r="T6" s="276" t="s">
        <v>663</v>
      </c>
      <c r="U6" s="1"/>
    </row>
    <row r="7" spans="1:21" hidden="1" x14ac:dyDescent="0.2">
      <c r="A7" s="14">
        <v>47</v>
      </c>
      <c r="B7" s="1" t="s">
        <v>664</v>
      </c>
      <c r="C7" s="1" t="s">
        <v>665</v>
      </c>
      <c r="D7" s="14">
        <v>1</v>
      </c>
      <c r="E7" s="14"/>
      <c r="F7" s="14"/>
      <c r="G7" s="14"/>
      <c r="H7" s="14"/>
      <c r="I7" s="14"/>
      <c r="J7" s="120"/>
      <c r="K7" s="14"/>
      <c r="L7" s="14"/>
      <c r="M7" s="14"/>
      <c r="N7" s="121"/>
      <c r="O7" s="14" t="s">
        <v>125</v>
      </c>
      <c r="P7" s="14" t="s">
        <v>49</v>
      </c>
      <c r="Q7" s="14" t="s">
        <v>49</v>
      </c>
      <c r="R7" s="14" t="s">
        <v>49</v>
      </c>
      <c r="S7" s="276" t="s">
        <v>50</v>
      </c>
      <c r="T7" s="276" t="s">
        <v>50</v>
      </c>
      <c r="U7" s="1"/>
    </row>
    <row r="8" spans="1:21" x14ac:dyDescent="0.2">
      <c r="A8" s="14">
        <v>24</v>
      </c>
      <c r="B8" s="1" t="s">
        <v>602</v>
      </c>
      <c r="C8" s="1" t="s">
        <v>600</v>
      </c>
      <c r="D8" s="14">
        <v>1</v>
      </c>
      <c r="E8" s="119"/>
      <c r="F8" s="119"/>
      <c r="G8" s="119"/>
      <c r="H8" s="123" t="s">
        <v>49</v>
      </c>
      <c r="I8" s="124" t="s">
        <v>49</v>
      </c>
      <c r="J8" s="120" t="s">
        <v>49</v>
      </c>
      <c r="K8" s="14" t="s">
        <v>49</v>
      </c>
      <c r="L8" s="14"/>
      <c r="M8" s="14" t="s">
        <v>49</v>
      </c>
      <c r="N8" s="121" t="s">
        <v>125</v>
      </c>
      <c r="O8" s="14" t="s">
        <v>125</v>
      </c>
      <c r="P8" s="14"/>
      <c r="Q8" s="14"/>
      <c r="R8" s="14"/>
      <c r="S8" s="276" t="s">
        <v>50</v>
      </c>
      <c r="T8" s="277" t="s">
        <v>666</v>
      </c>
      <c r="U8" s="1"/>
    </row>
    <row r="9" spans="1:21" ht="48" hidden="1" x14ac:dyDescent="0.2">
      <c r="A9" s="14">
        <v>50</v>
      </c>
      <c r="B9" s="132" t="s">
        <v>667</v>
      </c>
      <c r="C9" s="47" t="s">
        <v>572</v>
      </c>
      <c r="D9" s="14">
        <v>2</v>
      </c>
      <c r="E9" s="119"/>
      <c r="F9" s="119"/>
      <c r="G9" s="119"/>
      <c r="H9" s="14" t="s">
        <v>125</v>
      </c>
      <c r="I9" s="472" t="s">
        <v>49</v>
      </c>
      <c r="J9" s="120" t="s">
        <v>125</v>
      </c>
      <c r="K9" s="14" t="s">
        <v>125</v>
      </c>
      <c r="L9" s="14"/>
      <c r="M9" s="14" t="s">
        <v>49</v>
      </c>
      <c r="N9" s="121" t="s">
        <v>125</v>
      </c>
      <c r="O9" s="18" t="s">
        <v>660</v>
      </c>
      <c r="P9" s="18" t="s">
        <v>125</v>
      </c>
      <c r="Q9" s="18" t="s">
        <v>125</v>
      </c>
      <c r="R9" s="18" t="s">
        <v>125</v>
      </c>
      <c r="S9" s="2" t="s">
        <v>668</v>
      </c>
      <c r="T9" s="2"/>
      <c r="U9" s="16" t="s">
        <v>669</v>
      </c>
    </row>
    <row r="10" spans="1:21" ht="32" hidden="1" x14ac:dyDescent="0.2">
      <c r="A10" s="14">
        <v>1</v>
      </c>
      <c r="B10" s="46" t="s">
        <v>670</v>
      </c>
      <c r="C10" s="47" t="s">
        <v>572</v>
      </c>
      <c r="D10" s="14">
        <v>2</v>
      </c>
      <c r="E10" s="119"/>
      <c r="F10" s="119"/>
      <c r="G10" s="119"/>
      <c r="H10" s="14" t="s">
        <v>125</v>
      </c>
      <c r="I10" s="472" t="s">
        <v>49</v>
      </c>
      <c r="J10" s="120" t="s">
        <v>125</v>
      </c>
      <c r="K10" s="14" t="s">
        <v>125</v>
      </c>
      <c r="L10" s="14"/>
      <c r="M10" s="14" t="s">
        <v>49</v>
      </c>
      <c r="N10" s="121" t="s">
        <v>125</v>
      </c>
      <c r="O10" s="14" t="s">
        <v>125</v>
      </c>
      <c r="P10" s="14" t="s">
        <v>49</v>
      </c>
      <c r="Q10" s="14" t="s">
        <v>49</v>
      </c>
      <c r="R10" s="14" t="s">
        <v>49</v>
      </c>
      <c r="S10" s="276" t="s">
        <v>50</v>
      </c>
      <c r="T10" s="95"/>
      <c r="U10" s="47" t="s">
        <v>671</v>
      </c>
    </row>
    <row r="11" spans="1:21" ht="32" hidden="1" x14ac:dyDescent="0.2">
      <c r="A11" s="14">
        <v>49</v>
      </c>
      <c r="B11" s="46" t="s">
        <v>672</v>
      </c>
      <c r="C11" s="47" t="s">
        <v>572</v>
      </c>
      <c r="D11" s="14">
        <v>2</v>
      </c>
      <c r="E11" s="119"/>
      <c r="F11" s="119"/>
      <c r="G11" s="119"/>
      <c r="H11" s="14" t="s">
        <v>125</v>
      </c>
      <c r="I11" s="472" t="s">
        <v>49</v>
      </c>
      <c r="J11" s="120" t="s">
        <v>125</v>
      </c>
      <c r="K11" s="14" t="s">
        <v>125</v>
      </c>
      <c r="L11" s="14"/>
      <c r="M11" s="14" t="s">
        <v>49</v>
      </c>
      <c r="N11" s="121" t="s">
        <v>125</v>
      </c>
      <c r="O11" s="14" t="s">
        <v>125</v>
      </c>
      <c r="P11" s="14"/>
      <c r="Q11" s="14"/>
      <c r="R11" s="14"/>
      <c r="S11" s="95" t="s">
        <v>662</v>
      </c>
      <c r="T11" s="95"/>
      <c r="U11" s="47" t="s">
        <v>671</v>
      </c>
    </row>
    <row r="12" spans="1:21" hidden="1" x14ac:dyDescent="0.2">
      <c r="A12" s="14">
        <v>42</v>
      </c>
      <c r="B12" s="1" t="s">
        <v>630</v>
      </c>
      <c r="C12" s="1" t="s">
        <v>629</v>
      </c>
      <c r="D12" s="14">
        <v>3</v>
      </c>
      <c r="E12" s="119"/>
      <c r="F12" s="119"/>
      <c r="G12" s="119"/>
      <c r="H12" s="14" t="s">
        <v>125</v>
      </c>
      <c r="I12" s="472" t="s">
        <v>125</v>
      </c>
      <c r="J12" s="120" t="s">
        <v>49</v>
      </c>
      <c r="K12" s="14" t="s">
        <v>125</v>
      </c>
      <c r="L12" s="14"/>
      <c r="M12" s="14" t="s">
        <v>125</v>
      </c>
      <c r="N12" s="121" t="s">
        <v>125</v>
      </c>
      <c r="O12" s="14" t="s">
        <v>49</v>
      </c>
      <c r="P12" s="14" t="s">
        <v>49</v>
      </c>
      <c r="Q12" s="14" t="s">
        <v>49</v>
      </c>
      <c r="R12" s="14" t="s">
        <v>125</v>
      </c>
      <c r="S12" s="14" t="s">
        <v>668</v>
      </c>
      <c r="T12" s="14"/>
      <c r="U12" s="1" t="s">
        <v>673</v>
      </c>
    </row>
    <row r="13" spans="1:21" ht="64" x14ac:dyDescent="0.2">
      <c r="A13" s="14">
        <v>6</v>
      </c>
      <c r="B13" s="46" t="s">
        <v>674</v>
      </c>
      <c r="C13" s="47" t="s">
        <v>580</v>
      </c>
      <c r="D13" s="14">
        <v>2</v>
      </c>
      <c r="E13" s="119"/>
      <c r="F13" s="119"/>
      <c r="G13" s="119"/>
      <c r="H13" s="14" t="s">
        <v>49</v>
      </c>
      <c r="I13" s="14" t="s">
        <v>49</v>
      </c>
      <c r="J13" s="120" t="s">
        <v>49</v>
      </c>
      <c r="K13" s="14" t="s">
        <v>49</v>
      </c>
      <c r="L13" s="14"/>
      <c r="M13" s="14" t="s">
        <v>49</v>
      </c>
      <c r="N13" s="121" t="s">
        <v>49</v>
      </c>
      <c r="O13" s="14" t="s">
        <v>125</v>
      </c>
      <c r="P13" s="14" t="s">
        <v>49</v>
      </c>
      <c r="Q13" s="14" t="s">
        <v>49</v>
      </c>
      <c r="R13" s="14" t="s">
        <v>49</v>
      </c>
      <c r="S13" s="276" t="s">
        <v>50</v>
      </c>
      <c r="T13" s="95"/>
      <c r="U13" s="1"/>
    </row>
    <row r="14" spans="1:21" x14ac:dyDescent="0.2">
      <c r="A14" s="14">
        <v>23</v>
      </c>
      <c r="B14" s="1" t="s">
        <v>601</v>
      </c>
      <c r="C14" s="1" t="s">
        <v>600</v>
      </c>
      <c r="D14" s="14">
        <v>1</v>
      </c>
      <c r="E14" s="119"/>
      <c r="F14" s="119"/>
      <c r="G14" s="119"/>
      <c r="H14" s="123" t="s">
        <v>49</v>
      </c>
      <c r="I14" s="124" t="s">
        <v>49</v>
      </c>
      <c r="J14" s="120" t="s">
        <v>49</v>
      </c>
      <c r="K14" s="14" t="s">
        <v>49</v>
      </c>
      <c r="L14" s="14"/>
      <c r="M14" s="14" t="s">
        <v>49</v>
      </c>
      <c r="N14" s="121" t="s">
        <v>49</v>
      </c>
      <c r="O14" s="14" t="s">
        <v>125</v>
      </c>
      <c r="P14" s="14"/>
      <c r="Q14" s="14"/>
      <c r="R14" s="14"/>
      <c r="S14" s="276" t="s">
        <v>50</v>
      </c>
      <c r="T14" s="276" t="s">
        <v>675</v>
      </c>
      <c r="U14" s="1"/>
    </row>
    <row r="15" spans="1:21" ht="96" x14ac:dyDescent="0.2">
      <c r="A15" s="14">
        <v>4</v>
      </c>
      <c r="B15" s="46" t="s">
        <v>576</v>
      </c>
      <c r="C15" s="48" t="s">
        <v>577</v>
      </c>
      <c r="D15" s="14">
        <v>1</v>
      </c>
      <c r="E15" s="119"/>
      <c r="F15" s="119"/>
      <c r="G15" s="119"/>
      <c r="H15" s="14" t="s">
        <v>49</v>
      </c>
      <c r="I15" s="472" t="s">
        <v>49</v>
      </c>
      <c r="J15" s="120" t="s">
        <v>49</v>
      </c>
      <c r="K15" s="14" t="s">
        <v>49</v>
      </c>
      <c r="L15" s="14"/>
      <c r="M15" s="14" t="s">
        <v>49</v>
      </c>
      <c r="N15" s="121" t="s">
        <v>49</v>
      </c>
      <c r="O15" s="14" t="s">
        <v>125</v>
      </c>
      <c r="P15" s="14" t="s">
        <v>49</v>
      </c>
      <c r="Q15" s="14" t="s">
        <v>49</v>
      </c>
      <c r="R15" s="14" t="s">
        <v>49</v>
      </c>
      <c r="S15" s="276" t="s">
        <v>50</v>
      </c>
      <c r="T15" s="277" t="s">
        <v>666</v>
      </c>
      <c r="U15" s="1"/>
    </row>
    <row r="16" spans="1:21" ht="32" x14ac:dyDescent="0.2">
      <c r="A16" s="14">
        <v>3</v>
      </c>
      <c r="B16" s="122" t="s">
        <v>575</v>
      </c>
      <c r="C16" s="48" t="s">
        <v>574</v>
      </c>
      <c r="D16" s="14">
        <v>1</v>
      </c>
      <c r="E16" s="119"/>
      <c r="F16" s="119"/>
      <c r="G16" s="119"/>
      <c r="H16" s="14" t="s">
        <v>49</v>
      </c>
      <c r="I16" s="472" t="s">
        <v>49</v>
      </c>
      <c r="J16" s="413" t="s">
        <v>49</v>
      </c>
      <c r="K16" s="14" t="s">
        <v>49</v>
      </c>
      <c r="L16" s="14"/>
      <c r="M16" s="14" t="s">
        <v>49</v>
      </c>
      <c r="N16" s="121" t="s">
        <v>49</v>
      </c>
      <c r="O16" s="14" t="s">
        <v>125</v>
      </c>
      <c r="P16" s="14" t="s">
        <v>49</v>
      </c>
      <c r="Q16" s="14" t="s">
        <v>49</v>
      </c>
      <c r="R16" s="14" t="s">
        <v>49</v>
      </c>
      <c r="S16" s="276" t="s">
        <v>50</v>
      </c>
      <c r="T16" s="276" t="s">
        <v>676</v>
      </c>
      <c r="U16" s="48"/>
    </row>
    <row r="17" spans="1:21" x14ac:dyDescent="0.2">
      <c r="A17" s="14">
        <v>25</v>
      </c>
      <c r="B17" s="1" t="s">
        <v>604</v>
      </c>
      <c r="C17" s="1" t="s">
        <v>600</v>
      </c>
      <c r="D17" s="14">
        <v>2</v>
      </c>
      <c r="E17" s="119"/>
      <c r="F17" s="119"/>
      <c r="G17" s="119"/>
      <c r="H17" s="14" t="s">
        <v>49</v>
      </c>
      <c r="I17" s="472" t="s">
        <v>49</v>
      </c>
      <c r="J17" s="120" t="s">
        <v>125</v>
      </c>
      <c r="K17" s="14" t="s">
        <v>49</v>
      </c>
      <c r="L17" s="472" t="s">
        <v>49</v>
      </c>
      <c r="M17" s="472" t="s">
        <v>49</v>
      </c>
      <c r="N17" s="121" t="s">
        <v>49</v>
      </c>
      <c r="O17" s="14" t="s">
        <v>125</v>
      </c>
      <c r="P17" s="14"/>
      <c r="Q17" s="14"/>
      <c r="R17" s="14"/>
      <c r="S17" s="95" t="s">
        <v>662</v>
      </c>
      <c r="T17" s="95"/>
      <c r="U17" s="1"/>
    </row>
    <row r="18" spans="1:21" hidden="1" x14ac:dyDescent="0.2">
      <c r="A18" s="14">
        <v>46</v>
      </c>
      <c r="B18" s="1" t="s">
        <v>636</v>
      </c>
      <c r="C18" s="1" t="s">
        <v>629</v>
      </c>
      <c r="D18" s="14">
        <v>5</v>
      </c>
      <c r="E18" s="14"/>
      <c r="F18" s="14"/>
      <c r="G18" s="14"/>
      <c r="H18" s="14" t="s">
        <v>125</v>
      </c>
      <c r="I18" s="472" t="s">
        <v>125</v>
      </c>
      <c r="J18" s="120" t="s">
        <v>125</v>
      </c>
      <c r="K18" s="14" t="s">
        <v>125</v>
      </c>
      <c r="L18" s="14"/>
      <c r="M18" s="14" t="s">
        <v>125</v>
      </c>
      <c r="N18" s="121" t="s">
        <v>125</v>
      </c>
      <c r="O18" s="14" t="s">
        <v>125</v>
      </c>
      <c r="P18" s="14"/>
      <c r="Q18" s="14"/>
      <c r="R18" s="14"/>
      <c r="S18" s="14"/>
      <c r="T18" s="14"/>
      <c r="U18" s="1"/>
    </row>
    <row r="19" spans="1:21" x14ac:dyDescent="0.2">
      <c r="A19" s="14">
        <v>12</v>
      </c>
      <c r="B19" s="1" t="s">
        <v>586</v>
      </c>
      <c r="C19" s="1" t="s">
        <v>580</v>
      </c>
      <c r="D19" s="14">
        <v>3</v>
      </c>
      <c r="E19" s="125"/>
      <c r="F19" s="125"/>
      <c r="G19" s="125"/>
      <c r="H19" s="14" t="s">
        <v>125</v>
      </c>
      <c r="I19" s="14" t="s">
        <v>125</v>
      </c>
      <c r="J19" s="120" t="s">
        <v>125</v>
      </c>
      <c r="K19" s="14" t="s">
        <v>125</v>
      </c>
      <c r="L19" s="14"/>
      <c r="M19" s="14" t="s">
        <v>125</v>
      </c>
      <c r="N19" s="121" t="s">
        <v>125</v>
      </c>
      <c r="O19" s="14" t="s">
        <v>125</v>
      </c>
      <c r="P19" s="14"/>
      <c r="Q19" s="14"/>
      <c r="R19" s="14"/>
      <c r="S19" s="14"/>
      <c r="T19" s="14"/>
      <c r="U19" s="1"/>
    </row>
    <row r="20" spans="1:21" x14ac:dyDescent="0.2">
      <c r="A20" s="14">
        <v>18</v>
      </c>
      <c r="B20" s="9" t="s">
        <v>594</v>
      </c>
      <c r="C20" s="126" t="s">
        <v>591</v>
      </c>
      <c r="D20" s="14">
        <v>2</v>
      </c>
      <c r="E20" s="119">
        <v>45901</v>
      </c>
      <c r="F20" s="119">
        <v>45901</v>
      </c>
      <c r="G20" s="119">
        <v>45931</v>
      </c>
      <c r="H20" s="14" t="s">
        <v>125</v>
      </c>
      <c r="I20" s="472" t="s">
        <v>125</v>
      </c>
      <c r="J20" s="120" t="s">
        <v>125</v>
      </c>
      <c r="K20" s="14" t="s">
        <v>125</v>
      </c>
      <c r="L20" s="14"/>
      <c r="M20" s="14" t="s">
        <v>49</v>
      </c>
      <c r="N20" s="121" t="s">
        <v>125</v>
      </c>
      <c r="O20" s="14" t="s">
        <v>125</v>
      </c>
      <c r="P20" s="14"/>
      <c r="Q20" s="14"/>
      <c r="R20" s="14"/>
      <c r="S20" s="95" t="s">
        <v>662</v>
      </c>
      <c r="T20" s="95"/>
      <c r="U20" s="1"/>
    </row>
    <row r="21" spans="1:21" hidden="1" x14ac:dyDescent="0.2">
      <c r="A21" s="14">
        <v>45</v>
      </c>
      <c r="B21" s="1" t="s">
        <v>635</v>
      </c>
      <c r="C21" s="1" t="s">
        <v>629</v>
      </c>
      <c r="D21" s="14">
        <v>5</v>
      </c>
      <c r="E21" s="14"/>
      <c r="F21" s="14"/>
      <c r="G21" s="14"/>
      <c r="H21" s="14" t="s">
        <v>125</v>
      </c>
      <c r="I21" s="472" t="s">
        <v>125</v>
      </c>
      <c r="J21" s="120" t="s">
        <v>125</v>
      </c>
      <c r="K21" s="14" t="s">
        <v>125</v>
      </c>
      <c r="L21" s="14"/>
      <c r="M21" s="14" t="s">
        <v>125</v>
      </c>
      <c r="N21" s="121" t="s">
        <v>125</v>
      </c>
      <c r="O21" s="14" t="s">
        <v>49</v>
      </c>
      <c r="P21" s="14"/>
      <c r="Q21" s="14"/>
      <c r="R21" s="14"/>
      <c r="S21" s="14"/>
      <c r="T21" s="14"/>
      <c r="U21" s="1"/>
    </row>
    <row r="22" spans="1:21" x14ac:dyDescent="0.2">
      <c r="A22" s="14">
        <v>11</v>
      </c>
      <c r="B22" s="48" t="s">
        <v>585</v>
      </c>
      <c r="C22" s="48" t="s">
        <v>580</v>
      </c>
      <c r="D22" s="14">
        <v>1</v>
      </c>
      <c r="E22" s="119"/>
      <c r="F22" s="119"/>
      <c r="G22" s="119"/>
      <c r="H22" s="123" t="s">
        <v>49</v>
      </c>
      <c r="I22" s="123" t="s">
        <v>49</v>
      </c>
      <c r="J22" s="120" t="s">
        <v>49</v>
      </c>
      <c r="K22" s="14" t="s">
        <v>49</v>
      </c>
      <c r="L22" s="14"/>
      <c r="M22" s="14" t="s">
        <v>49</v>
      </c>
      <c r="N22" s="121" t="s">
        <v>49</v>
      </c>
      <c r="O22" s="14" t="s">
        <v>125</v>
      </c>
      <c r="P22" s="14" t="s">
        <v>49</v>
      </c>
      <c r="Q22" s="14" t="s">
        <v>49</v>
      </c>
      <c r="R22" s="14" t="s">
        <v>49</v>
      </c>
      <c r="S22" s="276" t="s">
        <v>50</v>
      </c>
      <c r="T22" s="278" t="s">
        <v>677</v>
      </c>
      <c r="U22" s="1"/>
    </row>
    <row r="23" spans="1:21" hidden="1" x14ac:dyDescent="0.2">
      <c r="A23" s="14">
        <v>32</v>
      </c>
      <c r="B23" s="1" t="s">
        <v>613</v>
      </c>
      <c r="C23" s="1" t="s">
        <v>614</v>
      </c>
      <c r="D23" s="14">
        <v>2</v>
      </c>
      <c r="E23" s="119">
        <v>45901</v>
      </c>
      <c r="F23" s="119">
        <v>45901</v>
      </c>
      <c r="G23" s="119">
        <v>45931</v>
      </c>
      <c r="H23" s="14" t="s">
        <v>125</v>
      </c>
      <c r="I23" s="472" t="s">
        <v>125</v>
      </c>
      <c r="J23" s="120" t="s">
        <v>125</v>
      </c>
      <c r="K23" s="14" t="s">
        <v>125</v>
      </c>
      <c r="L23" s="14"/>
      <c r="M23" s="14" t="s">
        <v>49</v>
      </c>
      <c r="N23" s="121" t="s">
        <v>125</v>
      </c>
      <c r="O23" s="14" t="s">
        <v>49</v>
      </c>
      <c r="P23" s="14"/>
      <c r="Q23" s="14"/>
      <c r="R23" s="14"/>
      <c r="S23" s="95" t="s">
        <v>662</v>
      </c>
      <c r="T23" s="95"/>
      <c r="U23" s="1" t="s">
        <v>678</v>
      </c>
    </row>
    <row r="24" spans="1:21" hidden="1" x14ac:dyDescent="0.2">
      <c r="A24" s="14">
        <v>35</v>
      </c>
      <c r="B24" s="1" t="s">
        <v>617</v>
      </c>
      <c r="C24" s="1" t="s">
        <v>618</v>
      </c>
      <c r="D24" s="14">
        <v>1</v>
      </c>
      <c r="E24" s="119"/>
      <c r="F24" s="119"/>
      <c r="G24" s="119"/>
      <c r="H24" s="14" t="s">
        <v>125</v>
      </c>
      <c r="I24" s="472" t="s">
        <v>125</v>
      </c>
      <c r="J24" s="120" t="s">
        <v>125</v>
      </c>
      <c r="K24" s="14" t="s">
        <v>125</v>
      </c>
      <c r="L24" s="14"/>
      <c r="M24" s="14" t="s">
        <v>49</v>
      </c>
      <c r="N24" s="121" t="s">
        <v>125</v>
      </c>
      <c r="O24" s="14" t="s">
        <v>49</v>
      </c>
      <c r="P24" s="14"/>
      <c r="Q24" s="14"/>
      <c r="R24" s="14"/>
      <c r="S24" s="276" t="s">
        <v>50</v>
      </c>
      <c r="T24" s="276"/>
      <c r="U24" s="1"/>
    </row>
    <row r="25" spans="1:21" ht="32" x14ac:dyDescent="0.2">
      <c r="A25" s="14">
        <v>14</v>
      </c>
      <c r="B25" s="46" t="s">
        <v>588</v>
      </c>
      <c r="C25" s="48" t="s">
        <v>589</v>
      </c>
      <c r="D25" s="14">
        <v>1</v>
      </c>
      <c r="E25" s="119"/>
      <c r="F25" s="119"/>
      <c r="G25" s="119"/>
      <c r="H25" s="123" t="s">
        <v>125</v>
      </c>
      <c r="I25" s="124" t="s">
        <v>125</v>
      </c>
      <c r="J25" s="120" t="s">
        <v>125</v>
      </c>
      <c r="K25" s="14" t="s">
        <v>49</v>
      </c>
      <c r="L25" s="14"/>
      <c r="M25" s="14" t="s">
        <v>49</v>
      </c>
      <c r="N25" s="121" t="s">
        <v>125</v>
      </c>
      <c r="O25" s="14" t="s">
        <v>125</v>
      </c>
      <c r="P25" s="14" t="s">
        <v>49</v>
      </c>
      <c r="Q25" s="14" t="s">
        <v>49</v>
      </c>
      <c r="R25" s="14" t="s">
        <v>49</v>
      </c>
      <c r="S25" s="276" t="s">
        <v>50</v>
      </c>
      <c r="T25" s="276" t="s">
        <v>679</v>
      </c>
      <c r="U25" s="1"/>
    </row>
    <row r="26" spans="1:21" hidden="1" x14ac:dyDescent="0.2">
      <c r="A26" s="14">
        <v>41</v>
      </c>
      <c r="B26" s="9" t="s">
        <v>628</v>
      </c>
      <c r="C26" s="1" t="s">
        <v>629</v>
      </c>
      <c r="D26" s="32">
        <v>3</v>
      </c>
      <c r="E26" s="125"/>
      <c r="F26" s="125"/>
      <c r="G26" s="125"/>
      <c r="H26" s="32" t="s">
        <v>125</v>
      </c>
      <c r="I26" s="32" t="s">
        <v>125</v>
      </c>
      <c r="J26" s="127" t="s">
        <v>49</v>
      </c>
      <c r="K26" s="32" t="s">
        <v>125</v>
      </c>
      <c r="L26" s="14"/>
      <c r="M26" s="51" t="s">
        <v>125</v>
      </c>
      <c r="N26" s="34" t="s">
        <v>125</v>
      </c>
      <c r="O26" s="14" t="s">
        <v>49</v>
      </c>
      <c r="P26" s="14" t="s">
        <v>49</v>
      </c>
      <c r="Q26" s="14" t="s">
        <v>49</v>
      </c>
      <c r="R26" s="14" t="s">
        <v>125</v>
      </c>
      <c r="S26" s="14" t="s">
        <v>668</v>
      </c>
      <c r="T26" s="14"/>
      <c r="U26" s="1" t="s">
        <v>673</v>
      </c>
    </row>
    <row r="27" spans="1:21" hidden="1" x14ac:dyDescent="0.2">
      <c r="A27" s="14">
        <v>31</v>
      </c>
      <c r="B27" s="1" t="s">
        <v>612</v>
      </c>
      <c r="C27" s="1" t="s">
        <v>606</v>
      </c>
      <c r="D27" s="14">
        <v>3</v>
      </c>
      <c r="E27" s="119"/>
      <c r="F27" s="119"/>
      <c r="G27" s="119"/>
      <c r="H27" s="14" t="s">
        <v>125</v>
      </c>
      <c r="I27" s="14" t="s">
        <v>125</v>
      </c>
      <c r="J27" s="120" t="s">
        <v>125</v>
      </c>
      <c r="K27" s="121" t="s">
        <v>125</v>
      </c>
      <c r="L27" s="14" t="s">
        <v>49</v>
      </c>
      <c r="M27" s="32" t="s">
        <v>125</v>
      </c>
      <c r="N27" s="129" t="s">
        <v>49</v>
      </c>
      <c r="O27" s="14" t="s">
        <v>49</v>
      </c>
      <c r="P27" s="14"/>
      <c r="Q27" s="14"/>
      <c r="R27" s="14"/>
      <c r="S27" s="14" t="s">
        <v>680</v>
      </c>
      <c r="T27" s="14"/>
      <c r="U27" s="1"/>
    </row>
    <row r="28" spans="1:21" x14ac:dyDescent="0.2">
      <c r="A28" s="14">
        <v>21</v>
      </c>
      <c r="B28" s="11" t="s">
        <v>598</v>
      </c>
      <c r="C28" s="11" t="s">
        <v>597</v>
      </c>
      <c r="D28" s="130">
        <v>2</v>
      </c>
      <c r="E28" s="125"/>
      <c r="F28" s="125"/>
      <c r="G28" s="125"/>
      <c r="H28" s="14" t="s">
        <v>125</v>
      </c>
      <c r="I28" s="14" t="s">
        <v>125</v>
      </c>
      <c r="J28" s="131" t="s">
        <v>125</v>
      </c>
      <c r="K28" s="128" t="s">
        <v>49</v>
      </c>
      <c r="L28" s="14"/>
      <c r="M28" s="32" t="s">
        <v>125</v>
      </c>
      <c r="N28" s="129" t="s">
        <v>125</v>
      </c>
      <c r="O28" s="14" t="s">
        <v>125</v>
      </c>
      <c r="P28" s="14"/>
      <c r="Q28" s="14"/>
      <c r="R28" s="14"/>
      <c r="S28" s="14" t="str">
        <f>IFERROR(VLOOKUP($B28,#REF!,3,FALSE),"")</f>
        <v/>
      </c>
      <c r="T28" s="14"/>
      <c r="U28" s="1"/>
    </row>
    <row r="29" spans="1:21" hidden="1" x14ac:dyDescent="0.2">
      <c r="A29" s="14">
        <v>30</v>
      </c>
      <c r="B29" s="9" t="s">
        <v>611</v>
      </c>
      <c r="C29" s="9" t="s">
        <v>606</v>
      </c>
      <c r="D29" s="32">
        <v>4</v>
      </c>
      <c r="E29" s="125"/>
      <c r="F29" s="125"/>
      <c r="G29" s="125"/>
      <c r="H29" s="14" t="s">
        <v>125</v>
      </c>
      <c r="I29" s="14" t="s">
        <v>125</v>
      </c>
      <c r="J29" s="127" t="s">
        <v>125</v>
      </c>
      <c r="K29" s="129" t="s">
        <v>125</v>
      </c>
      <c r="L29" s="14"/>
      <c r="M29" s="32" t="s">
        <v>125</v>
      </c>
      <c r="N29" s="129" t="s">
        <v>125</v>
      </c>
      <c r="O29" s="14" t="s">
        <v>49</v>
      </c>
      <c r="P29" s="14"/>
      <c r="Q29" s="14"/>
      <c r="R29" s="14"/>
      <c r="S29" s="14" t="s">
        <v>680</v>
      </c>
      <c r="T29" s="14"/>
      <c r="U29" s="1"/>
    </row>
    <row r="30" spans="1:21" hidden="1" x14ac:dyDescent="0.2">
      <c r="A30" s="14">
        <v>34</v>
      </c>
      <c r="B30" s="9" t="s">
        <v>616</v>
      </c>
      <c r="C30" s="9" t="s">
        <v>606</v>
      </c>
      <c r="D30" s="32">
        <v>5</v>
      </c>
      <c r="E30" s="125"/>
      <c r="F30" s="125"/>
      <c r="G30" s="125"/>
      <c r="H30" s="32" t="s">
        <v>125</v>
      </c>
      <c r="I30" s="32" t="s">
        <v>125</v>
      </c>
      <c r="J30" s="127" t="s">
        <v>125</v>
      </c>
      <c r="K30" s="129" t="s">
        <v>125</v>
      </c>
      <c r="L30" s="14"/>
      <c r="M30" s="32" t="s">
        <v>125</v>
      </c>
      <c r="N30" s="129" t="s">
        <v>125</v>
      </c>
      <c r="O30" s="14" t="s">
        <v>49</v>
      </c>
      <c r="P30" s="14"/>
      <c r="Q30" s="14"/>
      <c r="R30" s="14"/>
      <c r="S30" s="14"/>
      <c r="T30" s="14"/>
      <c r="U30" s="1" t="s">
        <v>183</v>
      </c>
    </row>
    <row r="31" spans="1:21" hidden="1" x14ac:dyDescent="0.2">
      <c r="A31" s="14">
        <v>40</v>
      </c>
      <c r="B31" s="133" t="s">
        <v>627</v>
      </c>
      <c r="C31" s="9" t="s">
        <v>624</v>
      </c>
      <c r="D31" s="32">
        <v>2</v>
      </c>
      <c r="E31" s="125"/>
      <c r="F31" s="125"/>
      <c r="G31" s="125"/>
      <c r="H31" s="32" t="s">
        <v>49</v>
      </c>
      <c r="I31" s="32" t="s">
        <v>49</v>
      </c>
      <c r="J31" s="127" t="s">
        <v>49</v>
      </c>
      <c r="K31" s="129" t="s">
        <v>125</v>
      </c>
      <c r="L31" s="129" t="s">
        <v>49</v>
      </c>
      <c r="M31" s="32" t="s">
        <v>49</v>
      </c>
      <c r="N31" s="129" t="s">
        <v>49</v>
      </c>
      <c r="O31" s="14" t="s">
        <v>125</v>
      </c>
      <c r="P31" s="14" t="s">
        <v>49</v>
      </c>
      <c r="Q31" s="14" t="s">
        <v>49</v>
      </c>
      <c r="R31" s="14" t="s">
        <v>49</v>
      </c>
      <c r="S31" s="276" t="s">
        <v>50</v>
      </c>
      <c r="T31" s="277" t="s">
        <v>681</v>
      </c>
      <c r="U31" s="1"/>
    </row>
    <row r="32" spans="1:21" hidden="1" x14ac:dyDescent="0.2">
      <c r="A32" s="14">
        <v>39</v>
      </c>
      <c r="B32" s="134" t="s">
        <v>626</v>
      </c>
      <c r="C32" s="134" t="s">
        <v>624</v>
      </c>
      <c r="D32" s="135" t="s">
        <v>682</v>
      </c>
      <c r="E32" s="468"/>
      <c r="F32" s="468"/>
      <c r="G32" s="468"/>
      <c r="H32" s="135" t="s">
        <v>125</v>
      </c>
      <c r="I32" s="135" t="s">
        <v>125</v>
      </c>
      <c r="J32" s="474" t="s">
        <v>125</v>
      </c>
      <c r="K32" s="136" t="s">
        <v>125</v>
      </c>
      <c r="L32" s="136"/>
      <c r="M32" s="135" t="s">
        <v>125</v>
      </c>
      <c r="N32" s="136" t="s">
        <v>125</v>
      </c>
      <c r="O32" s="280" t="s">
        <v>125</v>
      </c>
      <c r="P32" s="280"/>
      <c r="Q32" s="280"/>
      <c r="R32" s="280"/>
      <c r="S32" s="280" t="s">
        <v>683</v>
      </c>
      <c r="T32" s="280"/>
      <c r="U32" s="96" t="s">
        <v>684</v>
      </c>
    </row>
    <row r="33" spans="1:21" x14ac:dyDescent="0.2">
      <c r="A33" s="14">
        <v>2</v>
      </c>
      <c r="B33" s="9" t="s">
        <v>573</v>
      </c>
      <c r="C33" s="9" t="s">
        <v>574</v>
      </c>
      <c r="D33" s="32">
        <v>1</v>
      </c>
      <c r="E33" s="125"/>
      <c r="F33" s="125"/>
      <c r="G33" s="125"/>
      <c r="H33" s="32" t="s">
        <v>49</v>
      </c>
      <c r="I33" s="32" t="s">
        <v>49</v>
      </c>
      <c r="J33" s="473" t="s">
        <v>49</v>
      </c>
      <c r="K33" s="129" t="s">
        <v>49</v>
      </c>
      <c r="L33" s="129"/>
      <c r="M33" s="32" t="s">
        <v>49</v>
      </c>
      <c r="N33" s="129" t="s">
        <v>49</v>
      </c>
      <c r="O33" s="14" t="s">
        <v>125</v>
      </c>
      <c r="P33" s="14" t="s">
        <v>49</v>
      </c>
      <c r="Q33" s="14" t="s">
        <v>49</v>
      </c>
      <c r="R33" s="14" t="s">
        <v>49</v>
      </c>
      <c r="S33" s="276" t="s">
        <v>50</v>
      </c>
      <c r="T33" s="276" t="s">
        <v>685</v>
      </c>
      <c r="U33" s="1"/>
    </row>
    <row r="34" spans="1:21" x14ac:dyDescent="0.2">
      <c r="A34" s="14">
        <v>16</v>
      </c>
      <c r="B34" s="9" t="s">
        <v>592</v>
      </c>
      <c r="C34" s="9" t="s">
        <v>591</v>
      </c>
      <c r="D34" s="32">
        <v>2</v>
      </c>
      <c r="E34" s="125"/>
      <c r="F34" s="125"/>
      <c r="G34" s="125"/>
      <c r="H34" s="470" t="s">
        <v>49</v>
      </c>
      <c r="I34" s="470" t="s">
        <v>49</v>
      </c>
      <c r="J34" s="127" t="s">
        <v>49</v>
      </c>
      <c r="K34" s="471" t="s">
        <v>49</v>
      </c>
      <c r="L34" s="471" t="s">
        <v>49</v>
      </c>
      <c r="M34" s="470" t="s">
        <v>49</v>
      </c>
      <c r="N34" s="129" t="s">
        <v>49</v>
      </c>
      <c r="O34" s="14" t="s">
        <v>49</v>
      </c>
      <c r="P34" s="14"/>
      <c r="Q34" s="14"/>
      <c r="R34" s="14"/>
      <c r="S34" s="14" t="s">
        <v>668</v>
      </c>
      <c r="T34" s="14"/>
      <c r="U34" s="1"/>
    </row>
    <row r="35" spans="1:21" hidden="1" x14ac:dyDescent="0.2">
      <c r="A35" s="14">
        <v>44</v>
      </c>
      <c r="B35" s="9" t="s">
        <v>633</v>
      </c>
      <c r="C35" s="9" t="s">
        <v>634</v>
      </c>
      <c r="D35" s="32">
        <v>1</v>
      </c>
      <c r="E35" s="125">
        <v>45901</v>
      </c>
      <c r="F35" s="125">
        <v>45901</v>
      </c>
      <c r="G35" s="125">
        <v>45931</v>
      </c>
      <c r="H35" s="32" t="s">
        <v>125</v>
      </c>
      <c r="I35" s="32" t="s">
        <v>125</v>
      </c>
      <c r="J35" s="127" t="s">
        <v>125</v>
      </c>
      <c r="K35" s="129" t="s">
        <v>125</v>
      </c>
      <c r="L35" s="129"/>
      <c r="M35" s="32" t="s">
        <v>49</v>
      </c>
      <c r="N35" s="129" t="s">
        <v>125</v>
      </c>
      <c r="O35" s="14" t="s">
        <v>125</v>
      </c>
      <c r="P35" s="14"/>
      <c r="Q35" s="14"/>
      <c r="R35" s="14"/>
      <c r="S35" s="276" t="s">
        <v>50</v>
      </c>
      <c r="T35" s="276"/>
      <c r="U35" s="1" t="s">
        <v>671</v>
      </c>
    </row>
    <row r="36" spans="1:21" x14ac:dyDescent="0.2">
      <c r="A36" s="14">
        <v>10</v>
      </c>
      <c r="B36" s="9" t="s">
        <v>584</v>
      </c>
      <c r="C36" s="9" t="s">
        <v>580</v>
      </c>
      <c r="D36" s="32">
        <v>1</v>
      </c>
      <c r="E36" s="125"/>
      <c r="F36" s="125"/>
      <c r="G36" s="125"/>
      <c r="H36" s="470" t="s">
        <v>49</v>
      </c>
      <c r="I36" s="470" t="s">
        <v>49</v>
      </c>
      <c r="J36" s="127" t="s">
        <v>49</v>
      </c>
      <c r="K36" s="129" t="s">
        <v>49</v>
      </c>
      <c r="L36" s="129"/>
      <c r="M36" s="32" t="s">
        <v>49</v>
      </c>
      <c r="N36" s="129" t="s">
        <v>49</v>
      </c>
      <c r="O36" s="14" t="s">
        <v>125</v>
      </c>
      <c r="P36" s="14" t="s">
        <v>49</v>
      </c>
      <c r="Q36" s="14" t="s">
        <v>49</v>
      </c>
      <c r="R36" s="14" t="s">
        <v>49</v>
      </c>
      <c r="S36" s="276" t="s">
        <v>50</v>
      </c>
      <c r="T36" s="277" t="s">
        <v>686</v>
      </c>
      <c r="U36" s="1"/>
    </row>
    <row r="37" spans="1:21" hidden="1" x14ac:dyDescent="0.2">
      <c r="A37" s="14">
        <v>48</v>
      </c>
      <c r="B37" s="9" t="s">
        <v>687</v>
      </c>
      <c r="C37" s="9" t="s">
        <v>624</v>
      </c>
      <c r="D37" s="32">
        <v>3</v>
      </c>
      <c r="E37" s="32"/>
      <c r="F37" s="32"/>
      <c r="G37" s="32"/>
      <c r="H37" s="32"/>
      <c r="I37" s="32"/>
      <c r="J37" s="32"/>
      <c r="K37" s="129" t="s">
        <v>49</v>
      </c>
      <c r="L37" s="129"/>
      <c r="M37" s="32"/>
      <c r="N37" s="129"/>
      <c r="O37" s="14" t="s">
        <v>49</v>
      </c>
      <c r="P37" s="14"/>
      <c r="Q37" s="14"/>
      <c r="R37" s="14"/>
      <c r="S37" s="2" t="s">
        <v>668</v>
      </c>
      <c r="T37" s="2"/>
      <c r="U37" s="1"/>
    </row>
    <row r="38" spans="1:21" hidden="1" x14ac:dyDescent="0.2">
      <c r="A38" s="14">
        <v>38</v>
      </c>
      <c r="B38" s="9" t="s">
        <v>625</v>
      </c>
      <c r="C38" s="9" t="s">
        <v>624</v>
      </c>
      <c r="D38" s="32">
        <v>2</v>
      </c>
      <c r="E38" s="125"/>
      <c r="F38" s="125"/>
      <c r="G38" s="125"/>
      <c r="H38" s="32" t="s">
        <v>49</v>
      </c>
      <c r="I38" s="32" t="s">
        <v>49</v>
      </c>
      <c r="J38" s="127" t="s">
        <v>49</v>
      </c>
      <c r="K38" s="129" t="s">
        <v>125</v>
      </c>
      <c r="L38" s="129"/>
      <c r="M38" s="32" t="s">
        <v>49</v>
      </c>
      <c r="N38" s="129" t="s">
        <v>49</v>
      </c>
      <c r="O38" s="14" t="s">
        <v>125</v>
      </c>
      <c r="P38" s="14"/>
      <c r="Q38" s="14"/>
      <c r="R38" s="14"/>
      <c r="S38" s="95" t="s">
        <v>662</v>
      </c>
      <c r="T38" s="95"/>
      <c r="U38" s="1"/>
    </row>
    <row r="39" spans="1:21" x14ac:dyDescent="0.2">
      <c r="A39" s="14">
        <v>9</v>
      </c>
      <c r="B39" s="9" t="s">
        <v>583</v>
      </c>
      <c r="C39" s="9" t="s">
        <v>580</v>
      </c>
      <c r="D39" s="32">
        <v>2</v>
      </c>
      <c r="E39" s="125"/>
      <c r="F39" s="125"/>
      <c r="G39" s="125"/>
      <c r="H39" s="470" t="s">
        <v>49</v>
      </c>
      <c r="I39" s="470" t="s">
        <v>49</v>
      </c>
      <c r="J39" s="127" t="s">
        <v>49</v>
      </c>
      <c r="K39" s="129" t="s">
        <v>49</v>
      </c>
      <c r="L39" s="129"/>
      <c r="M39" s="32" t="s">
        <v>49</v>
      </c>
      <c r="N39" s="129" t="s">
        <v>49</v>
      </c>
      <c r="O39" s="14" t="s">
        <v>125</v>
      </c>
      <c r="P39" s="14" t="s">
        <v>49</v>
      </c>
      <c r="Q39" s="14" t="s">
        <v>49</v>
      </c>
      <c r="R39" s="14" t="s">
        <v>49</v>
      </c>
      <c r="S39" s="95" t="s">
        <v>662</v>
      </c>
      <c r="T39" s="95"/>
      <c r="U39" s="1"/>
    </row>
    <row r="40" spans="1:21" x14ac:dyDescent="0.2">
      <c r="A40" s="14">
        <v>8</v>
      </c>
      <c r="B40" s="9" t="s">
        <v>582</v>
      </c>
      <c r="C40" s="9" t="s">
        <v>580</v>
      </c>
      <c r="D40" s="32">
        <v>1</v>
      </c>
      <c r="E40" s="469"/>
      <c r="F40" s="469"/>
      <c r="G40" s="469"/>
      <c r="H40" s="471" t="s">
        <v>49</v>
      </c>
      <c r="I40" s="471" t="s">
        <v>49</v>
      </c>
      <c r="J40" s="475" t="s">
        <v>49</v>
      </c>
      <c r="K40" s="129" t="s">
        <v>49</v>
      </c>
      <c r="L40" s="129"/>
      <c r="M40" s="32" t="s">
        <v>49</v>
      </c>
      <c r="N40" s="129" t="s">
        <v>49</v>
      </c>
      <c r="O40" s="14" t="s">
        <v>125</v>
      </c>
      <c r="P40" s="14" t="s">
        <v>49</v>
      </c>
      <c r="Q40" s="14" t="s">
        <v>49</v>
      </c>
      <c r="R40" s="14" t="s">
        <v>49</v>
      </c>
      <c r="S40" s="276" t="s">
        <v>50</v>
      </c>
      <c r="T40" s="276" t="s">
        <v>676</v>
      </c>
      <c r="U40" s="1"/>
    </row>
    <row r="41" spans="1:21" x14ac:dyDescent="0.2">
      <c r="A41" s="14">
        <v>7</v>
      </c>
      <c r="B41" s="9" t="s">
        <v>581</v>
      </c>
      <c r="C41" s="9" t="s">
        <v>580</v>
      </c>
      <c r="D41" s="32">
        <v>1</v>
      </c>
      <c r="E41" s="125"/>
      <c r="F41" s="125"/>
      <c r="G41" s="125"/>
      <c r="H41" s="470" t="s">
        <v>49</v>
      </c>
      <c r="I41" s="470" t="s">
        <v>49</v>
      </c>
      <c r="J41" s="127" t="s">
        <v>49</v>
      </c>
      <c r="K41" s="129" t="s">
        <v>49</v>
      </c>
      <c r="L41" s="129"/>
      <c r="M41" s="32" t="s">
        <v>49</v>
      </c>
      <c r="N41" s="129" t="s">
        <v>49</v>
      </c>
      <c r="O41" s="14" t="s">
        <v>125</v>
      </c>
      <c r="P41" s="14" t="s">
        <v>49</v>
      </c>
      <c r="Q41" s="14" t="s">
        <v>49</v>
      </c>
      <c r="R41" s="14" t="s">
        <v>49</v>
      </c>
      <c r="S41" s="276" t="s">
        <v>50</v>
      </c>
      <c r="T41" s="276"/>
      <c r="U41" s="1"/>
    </row>
    <row r="42" spans="1:21" ht="64" hidden="1" x14ac:dyDescent="0.2">
      <c r="A42" s="14">
        <v>36</v>
      </c>
      <c r="B42" s="132" t="s">
        <v>688</v>
      </c>
      <c r="C42" s="48" t="s">
        <v>621</v>
      </c>
      <c r="D42" s="32">
        <v>2</v>
      </c>
      <c r="E42" s="125"/>
      <c r="F42" s="125"/>
      <c r="G42" s="125"/>
      <c r="H42" s="32" t="s">
        <v>125</v>
      </c>
      <c r="I42" s="32" t="s">
        <v>49</v>
      </c>
      <c r="J42" s="127" t="s">
        <v>49</v>
      </c>
      <c r="K42" s="129" t="s">
        <v>125</v>
      </c>
      <c r="L42" s="129"/>
      <c r="M42" s="32" t="s">
        <v>49</v>
      </c>
      <c r="N42" s="129" t="s">
        <v>125</v>
      </c>
      <c r="O42" s="14" t="s">
        <v>125</v>
      </c>
      <c r="P42" s="14" t="s">
        <v>49</v>
      </c>
      <c r="Q42" s="14" t="s">
        <v>49</v>
      </c>
      <c r="R42" s="14" t="s">
        <v>49</v>
      </c>
      <c r="S42" s="276" t="s">
        <v>50</v>
      </c>
      <c r="T42" s="95"/>
      <c r="U42" s="1"/>
    </row>
    <row r="43" spans="1:21" ht="48" hidden="1" x14ac:dyDescent="0.2">
      <c r="A43" s="14">
        <v>29</v>
      </c>
      <c r="B43" s="132" t="s">
        <v>689</v>
      </c>
      <c r="C43" s="48" t="s">
        <v>606</v>
      </c>
      <c r="D43" s="51">
        <v>1</v>
      </c>
      <c r="E43" s="125"/>
      <c r="F43" s="125"/>
      <c r="G43" s="125"/>
      <c r="H43" s="32" t="s">
        <v>49</v>
      </c>
      <c r="I43" s="32" t="s">
        <v>49</v>
      </c>
      <c r="J43" s="127" t="s">
        <v>49</v>
      </c>
      <c r="K43" s="129" t="s">
        <v>125</v>
      </c>
      <c r="L43" s="129" t="s">
        <v>49</v>
      </c>
      <c r="M43" s="32" t="s">
        <v>49</v>
      </c>
      <c r="N43" s="129" t="s">
        <v>125</v>
      </c>
      <c r="O43" s="14" t="s">
        <v>125</v>
      </c>
      <c r="P43" s="14" t="s">
        <v>49</v>
      </c>
      <c r="Q43" s="14" t="s">
        <v>49</v>
      </c>
      <c r="R43" s="14" t="s">
        <v>49</v>
      </c>
      <c r="S43" s="24" t="s">
        <v>50</v>
      </c>
      <c r="T43" s="279"/>
      <c r="U43" s="1"/>
    </row>
    <row r="44" spans="1:21" ht="16" hidden="1" x14ac:dyDescent="0.2">
      <c r="A44" s="14">
        <v>28</v>
      </c>
      <c r="B44" s="9" t="s">
        <v>608</v>
      </c>
      <c r="C44" s="517" t="s">
        <v>606</v>
      </c>
      <c r="D44" s="14">
        <v>1</v>
      </c>
      <c r="E44" s="518"/>
      <c r="F44" s="125"/>
      <c r="G44" s="125"/>
      <c r="H44" s="32" t="s">
        <v>125</v>
      </c>
      <c r="I44" s="32" t="s">
        <v>125</v>
      </c>
      <c r="J44" s="127" t="s">
        <v>125</v>
      </c>
      <c r="K44" s="129" t="s">
        <v>125</v>
      </c>
      <c r="L44" s="137"/>
      <c r="M44" s="138" t="s">
        <v>49</v>
      </c>
      <c r="N44" s="137" t="s">
        <v>125</v>
      </c>
      <c r="O44" s="14" t="s">
        <v>125</v>
      </c>
      <c r="P44" s="14"/>
      <c r="Q44" s="14"/>
      <c r="R44" s="14"/>
      <c r="S44" s="24" t="s">
        <v>50</v>
      </c>
      <c r="T44" s="95"/>
      <c r="U44" s="1"/>
    </row>
    <row r="45" spans="1:21" ht="16" hidden="1" x14ac:dyDescent="0.2">
      <c r="A45" s="14">
        <v>27</v>
      </c>
      <c r="B45" s="9" t="s">
        <v>607</v>
      </c>
      <c r="C45" s="9" t="s">
        <v>606</v>
      </c>
      <c r="D45" s="138">
        <v>2</v>
      </c>
      <c r="E45" s="125"/>
      <c r="F45" s="125"/>
      <c r="G45" s="125"/>
      <c r="H45" s="32" t="s">
        <v>125</v>
      </c>
      <c r="I45" s="32" t="s">
        <v>49</v>
      </c>
      <c r="J45" s="127" t="s">
        <v>49</v>
      </c>
      <c r="K45" s="129" t="s">
        <v>125</v>
      </c>
      <c r="L45" s="129"/>
      <c r="M45" s="32" t="s">
        <v>49</v>
      </c>
      <c r="N45" s="129" t="s">
        <v>125</v>
      </c>
      <c r="O45" s="14" t="s">
        <v>125</v>
      </c>
      <c r="P45" s="14" t="s">
        <v>49</v>
      </c>
      <c r="Q45" s="14" t="s">
        <v>49</v>
      </c>
      <c r="R45" s="14" t="s">
        <v>49</v>
      </c>
      <c r="S45" s="24" t="s">
        <v>50</v>
      </c>
      <c r="T45" s="95"/>
      <c r="U45" s="1"/>
    </row>
    <row r="46" spans="1:21" x14ac:dyDescent="0.2">
      <c r="A46" s="14">
        <v>22</v>
      </c>
      <c r="B46" s="9" t="s">
        <v>599</v>
      </c>
      <c r="C46" s="9" t="s">
        <v>600</v>
      </c>
      <c r="D46" s="32">
        <v>5</v>
      </c>
      <c r="E46" s="125"/>
      <c r="F46" s="125"/>
      <c r="G46" s="125"/>
      <c r="H46" s="470" t="s">
        <v>125</v>
      </c>
      <c r="I46" s="470" t="s">
        <v>125</v>
      </c>
      <c r="J46" s="127" t="s">
        <v>125</v>
      </c>
      <c r="K46" s="129" t="s">
        <v>125</v>
      </c>
      <c r="L46" s="129"/>
      <c r="M46" s="32" t="s">
        <v>125</v>
      </c>
      <c r="N46" s="129" t="s">
        <v>125</v>
      </c>
      <c r="O46" s="14" t="s">
        <v>49</v>
      </c>
      <c r="P46" s="14"/>
      <c r="Q46" s="14"/>
      <c r="R46" s="14"/>
      <c r="S46" s="276" t="s">
        <v>50</v>
      </c>
      <c r="T46" s="276"/>
      <c r="U46" s="1"/>
    </row>
    <row r="47" spans="1:21" ht="48" x14ac:dyDescent="0.2">
      <c r="A47" s="14">
        <v>17</v>
      </c>
      <c r="B47" s="132" t="s">
        <v>593</v>
      </c>
      <c r="C47" s="9" t="s">
        <v>591</v>
      </c>
      <c r="D47" s="32">
        <v>2</v>
      </c>
      <c r="E47" s="125"/>
      <c r="F47" s="125"/>
      <c r="G47" s="125"/>
      <c r="H47" s="470" t="s">
        <v>49</v>
      </c>
      <c r="I47" s="470" t="s">
        <v>49</v>
      </c>
      <c r="J47" s="127" t="s">
        <v>49</v>
      </c>
      <c r="K47" s="129" t="s">
        <v>49</v>
      </c>
      <c r="L47" s="129" t="s">
        <v>49</v>
      </c>
      <c r="M47" s="32" t="s">
        <v>49</v>
      </c>
      <c r="N47" s="129" t="s">
        <v>49</v>
      </c>
      <c r="O47" s="14" t="s">
        <v>125</v>
      </c>
      <c r="P47" s="14"/>
      <c r="Q47" s="14"/>
      <c r="R47" s="14"/>
      <c r="S47" s="95" t="s">
        <v>662</v>
      </c>
      <c r="T47" s="95"/>
      <c r="U47" s="1"/>
    </row>
    <row r="48" spans="1:21" hidden="1" x14ac:dyDescent="0.2">
      <c r="A48" s="14">
        <v>37</v>
      </c>
      <c r="B48" s="9" t="s">
        <v>623</v>
      </c>
      <c r="C48" s="9" t="s">
        <v>624</v>
      </c>
      <c r="D48" s="32">
        <v>2</v>
      </c>
      <c r="E48" s="125"/>
      <c r="F48" s="125"/>
      <c r="G48" s="125"/>
      <c r="H48" s="32" t="s">
        <v>49</v>
      </c>
      <c r="I48" s="32" t="s">
        <v>49</v>
      </c>
      <c r="J48" s="127" t="s">
        <v>49</v>
      </c>
      <c r="K48" s="129" t="s">
        <v>125</v>
      </c>
      <c r="L48" s="129" t="s">
        <v>49</v>
      </c>
      <c r="M48" s="32" t="s">
        <v>49</v>
      </c>
      <c r="N48" s="129" t="s">
        <v>49</v>
      </c>
      <c r="O48" s="14" t="s">
        <v>125</v>
      </c>
      <c r="P48" s="14" t="s">
        <v>49</v>
      </c>
      <c r="Q48" s="14" t="s">
        <v>49</v>
      </c>
      <c r="R48" s="14" t="s">
        <v>49</v>
      </c>
      <c r="S48" s="276" t="s">
        <v>50</v>
      </c>
      <c r="T48" s="278" t="s">
        <v>690</v>
      </c>
      <c r="U48" s="1"/>
    </row>
    <row r="49" spans="1:21" x14ac:dyDescent="0.2">
      <c r="A49" s="14">
        <v>20</v>
      </c>
      <c r="B49" s="9" t="s">
        <v>596</v>
      </c>
      <c r="C49" s="9" t="s">
        <v>597</v>
      </c>
      <c r="D49" s="32">
        <v>4</v>
      </c>
      <c r="E49" s="125"/>
      <c r="F49" s="125"/>
      <c r="G49" s="125"/>
      <c r="H49" s="470" t="s">
        <v>125</v>
      </c>
      <c r="I49" s="470" t="s">
        <v>125</v>
      </c>
      <c r="J49" s="127" t="s">
        <v>125</v>
      </c>
      <c r="K49" s="129" t="s">
        <v>125</v>
      </c>
      <c r="L49" s="129"/>
      <c r="M49" s="32" t="s">
        <v>125</v>
      </c>
      <c r="N49" s="129" t="s">
        <v>125</v>
      </c>
      <c r="O49" s="14" t="s">
        <v>44</v>
      </c>
      <c r="P49" s="14"/>
      <c r="Q49" s="14"/>
      <c r="R49" s="14"/>
      <c r="S49" s="14"/>
      <c r="T49" s="14"/>
      <c r="U49" s="1"/>
    </row>
    <row r="50" spans="1:21" hidden="1" x14ac:dyDescent="0.2">
      <c r="A50" s="14">
        <v>51</v>
      </c>
      <c r="B50" s="1" t="s">
        <v>691</v>
      </c>
      <c r="C50" s="47" t="s">
        <v>572</v>
      </c>
      <c r="D50" s="14"/>
      <c r="E50" s="14"/>
      <c r="F50" s="14"/>
      <c r="G50" s="14"/>
      <c r="H50" s="14"/>
      <c r="I50" s="14"/>
      <c r="J50" s="14"/>
      <c r="K50" s="14"/>
      <c r="L50" s="14"/>
      <c r="M50" s="14"/>
      <c r="N50" s="121"/>
      <c r="O50" s="14" t="s">
        <v>125</v>
      </c>
      <c r="P50" s="14" t="s">
        <v>125</v>
      </c>
      <c r="Q50" s="14" t="s">
        <v>125</v>
      </c>
      <c r="R50" s="14" t="s">
        <v>125</v>
      </c>
      <c r="S50" s="2"/>
      <c r="T50" s="2"/>
      <c r="U50" s="1"/>
    </row>
    <row r="51" spans="1:21" ht="16" hidden="1" x14ac:dyDescent="0.2">
      <c r="A51" s="14">
        <v>26</v>
      </c>
      <c r="B51" s="1" t="s">
        <v>605</v>
      </c>
      <c r="C51" s="1" t="s">
        <v>606</v>
      </c>
      <c r="D51" s="14">
        <v>2</v>
      </c>
      <c r="E51" s="119"/>
      <c r="F51" s="119"/>
      <c r="G51" s="119"/>
      <c r="H51" s="14" t="s">
        <v>125</v>
      </c>
      <c r="I51" s="14" t="s">
        <v>49</v>
      </c>
      <c r="J51" s="120" t="s">
        <v>125</v>
      </c>
      <c r="K51" s="14" t="s">
        <v>125</v>
      </c>
      <c r="L51" s="14"/>
      <c r="M51" s="14" t="s">
        <v>49</v>
      </c>
      <c r="N51" s="121" t="s">
        <v>125</v>
      </c>
      <c r="O51" s="14" t="s">
        <v>125</v>
      </c>
      <c r="P51" s="14" t="s">
        <v>49</v>
      </c>
      <c r="Q51" s="14" t="s">
        <v>49</v>
      </c>
      <c r="R51" s="14" t="s">
        <v>49</v>
      </c>
      <c r="S51" s="24" t="s">
        <v>50</v>
      </c>
      <c r="T51" s="95"/>
      <c r="U51" s="1"/>
    </row>
    <row r="52" spans="1:21" x14ac:dyDescent="0.2">
      <c r="A52" s="14">
        <v>15</v>
      </c>
      <c r="B52" s="1" t="s">
        <v>590</v>
      </c>
      <c r="C52" s="1" t="s">
        <v>591</v>
      </c>
      <c r="D52" s="32">
        <v>1</v>
      </c>
      <c r="E52" s="125"/>
      <c r="F52" s="125"/>
      <c r="G52" s="125"/>
      <c r="H52" s="470" t="s">
        <v>49</v>
      </c>
      <c r="I52" s="470" t="s">
        <v>49</v>
      </c>
      <c r="J52" s="127" t="s">
        <v>49</v>
      </c>
      <c r="K52" s="129" t="s">
        <v>49</v>
      </c>
      <c r="L52" s="129" t="s">
        <v>49</v>
      </c>
      <c r="M52" s="32" t="s">
        <v>49</v>
      </c>
      <c r="N52" s="129" t="s">
        <v>49</v>
      </c>
      <c r="O52" s="14" t="s">
        <v>125</v>
      </c>
      <c r="P52" s="14" t="s">
        <v>49</v>
      </c>
      <c r="Q52" s="14" t="s">
        <v>49</v>
      </c>
      <c r="R52" s="14" t="s">
        <v>49</v>
      </c>
      <c r="S52" s="276" t="s">
        <v>50</v>
      </c>
      <c r="T52" s="276" t="s">
        <v>692</v>
      </c>
      <c r="U52" s="1"/>
    </row>
    <row r="53" spans="1:21" x14ac:dyDescent="0.2">
      <c r="A53" s="14"/>
      <c r="B53" s="9"/>
      <c r="C53" s="9"/>
      <c r="D53" s="32"/>
      <c r="E53" s="32"/>
      <c r="F53" s="32"/>
      <c r="G53" s="32"/>
      <c r="H53" s="32"/>
      <c r="I53" s="32"/>
      <c r="J53" s="32"/>
      <c r="K53" s="32"/>
      <c r="L53" s="32"/>
      <c r="M53" s="32"/>
      <c r="N53" s="129"/>
      <c r="O53" s="14"/>
      <c r="P53" s="14"/>
      <c r="Q53" s="14"/>
      <c r="R53" s="14"/>
      <c r="S53" s="2"/>
      <c r="T53" s="2"/>
      <c r="U53" s="1"/>
    </row>
    <row r="54" spans="1:21" x14ac:dyDescent="0.2">
      <c r="A54" s="14"/>
      <c r="B54" s="9"/>
      <c r="C54" s="9"/>
      <c r="D54" s="32"/>
      <c r="E54" s="32"/>
      <c r="F54" s="32"/>
      <c r="G54" s="32"/>
      <c r="H54" s="32"/>
      <c r="I54" s="32"/>
      <c r="J54" s="32"/>
      <c r="K54" s="32"/>
      <c r="L54" s="32"/>
      <c r="M54" s="32"/>
      <c r="N54" s="129"/>
      <c r="O54" s="14"/>
      <c r="P54" s="14"/>
      <c r="Q54" s="14"/>
      <c r="R54" s="14"/>
      <c r="S54" s="2"/>
      <c r="T54" s="2"/>
      <c r="U54" s="1"/>
    </row>
    <row r="56" spans="1:21" ht="15" customHeight="1" x14ac:dyDescent="0.2">
      <c r="D56" s="94"/>
      <c r="E56" s="94"/>
      <c r="F56" s="94"/>
      <c r="G56" s="94"/>
      <c r="H56" s="94"/>
      <c r="I56" s="94"/>
    </row>
    <row r="57" spans="1:21" ht="15" customHeight="1" x14ac:dyDescent="0.2">
      <c r="A57" s="857" t="s">
        <v>693</v>
      </c>
      <c r="B57" s="858"/>
      <c r="C57" s="858"/>
      <c r="D57" s="859"/>
      <c r="E57" s="94"/>
      <c r="F57" s="94"/>
      <c r="G57" s="94"/>
      <c r="H57" s="94"/>
      <c r="I57" s="94"/>
    </row>
    <row r="58" spans="1:21" x14ac:dyDescent="0.2">
      <c r="A58" s="860"/>
      <c r="B58" s="861"/>
      <c r="C58" s="861"/>
      <c r="D58" s="862"/>
      <c r="E58"/>
    </row>
    <row r="59" spans="1:21" x14ac:dyDescent="0.2">
      <c r="D59"/>
      <c r="E59"/>
    </row>
    <row r="60" spans="1:21" x14ac:dyDescent="0.2">
      <c r="A60" s="449" t="s">
        <v>560</v>
      </c>
    </row>
    <row r="61" spans="1:21" x14ac:dyDescent="0.2">
      <c r="A61" t="s">
        <v>694</v>
      </c>
      <c r="B61" s="34"/>
      <c r="C61" s="34"/>
    </row>
    <row r="62" spans="1:21" ht="16" x14ac:dyDescent="0.2">
      <c r="A62" s="106" t="s">
        <v>695</v>
      </c>
      <c r="B62" s="94"/>
      <c r="C62" s="94"/>
      <c r="D62" s="94"/>
      <c r="E62" s="94"/>
    </row>
    <row r="63" spans="1:21" ht="16" x14ac:dyDescent="0.2">
      <c r="A63" s="94"/>
      <c r="B63" s="94"/>
      <c r="C63" s="94"/>
      <c r="D63" s="94"/>
      <c r="E63" s="94"/>
    </row>
    <row r="64" spans="1:21" hidden="1" x14ac:dyDescent="0.2">
      <c r="B64" s="34"/>
      <c r="C64" s="34"/>
    </row>
    <row r="65" spans="1:7" hidden="1" x14ac:dyDescent="0.2">
      <c r="A65" s="449" t="s">
        <v>696</v>
      </c>
      <c r="B65" s="34"/>
      <c r="C65" s="34"/>
    </row>
    <row r="66" spans="1:7" hidden="1" x14ac:dyDescent="0.2">
      <c r="A66" t="s">
        <v>697</v>
      </c>
      <c r="B66" s="34"/>
      <c r="C66" s="34"/>
    </row>
    <row r="67" spans="1:7" hidden="1" x14ac:dyDescent="0.2">
      <c r="A67" t="s">
        <v>698</v>
      </c>
      <c r="B67" s="34"/>
      <c r="C67" s="34"/>
    </row>
    <row r="68" spans="1:7" hidden="1" x14ac:dyDescent="0.2">
      <c r="A68" t="s">
        <v>699</v>
      </c>
      <c r="B68" s="34"/>
      <c r="C68" s="34"/>
    </row>
    <row r="69" spans="1:7" hidden="1" x14ac:dyDescent="0.2">
      <c r="A69" t="s">
        <v>700</v>
      </c>
      <c r="B69" s="34"/>
      <c r="C69" s="34"/>
    </row>
    <row r="71" spans="1:7" x14ac:dyDescent="0.2">
      <c r="A71" s="449" t="s">
        <v>701</v>
      </c>
    </row>
    <row r="72" spans="1:7" x14ac:dyDescent="0.2">
      <c r="A72">
        <v>1</v>
      </c>
      <c r="B72" s="459" t="s">
        <v>702</v>
      </c>
    </row>
    <row r="73" spans="1:7" x14ac:dyDescent="0.2">
      <c r="A73">
        <v>2</v>
      </c>
      <c r="B73" s="458" t="s">
        <v>703</v>
      </c>
    </row>
    <row r="75" spans="1:7" x14ac:dyDescent="0.2">
      <c r="B75" t="s">
        <v>704</v>
      </c>
      <c r="D75" s="34" t="s">
        <v>705</v>
      </c>
      <c r="E75" s="34" t="s">
        <v>705</v>
      </c>
      <c r="F75" s="114" t="s">
        <v>706</v>
      </c>
      <c r="G75" s="114"/>
    </row>
    <row r="76" spans="1:7" x14ac:dyDescent="0.2">
      <c r="B76" t="s">
        <v>691</v>
      </c>
      <c r="D76" s="34" t="s">
        <v>707</v>
      </c>
      <c r="E76" s="34" t="s">
        <v>707</v>
      </c>
      <c r="F76" s="114" t="s">
        <v>708</v>
      </c>
      <c r="G76" s="114"/>
    </row>
    <row r="77" spans="1:7" x14ac:dyDescent="0.2">
      <c r="F77" s="114" t="s">
        <v>709</v>
      </c>
    </row>
    <row r="78" spans="1:7" x14ac:dyDescent="0.2">
      <c r="F78" s="114" t="s">
        <v>710</v>
      </c>
    </row>
    <row r="80" spans="1:7" x14ac:dyDescent="0.2">
      <c r="D80" s="114" t="s">
        <v>711</v>
      </c>
      <c r="F80" s="114" t="s">
        <v>712</v>
      </c>
    </row>
    <row r="81" spans="2:8" x14ac:dyDescent="0.2">
      <c r="D81" s="114" t="s">
        <v>713</v>
      </c>
      <c r="F81" s="114" t="s">
        <v>714</v>
      </c>
    </row>
    <row r="82" spans="2:8" x14ac:dyDescent="0.2">
      <c r="F82" s="114" t="s">
        <v>715</v>
      </c>
    </row>
    <row r="83" spans="2:8" x14ac:dyDescent="0.2">
      <c r="B83" t="s">
        <v>704</v>
      </c>
    </row>
    <row r="84" spans="2:8" x14ac:dyDescent="0.2">
      <c r="B84" s="485" t="s">
        <v>716</v>
      </c>
      <c r="C84" s="485" t="s">
        <v>269</v>
      </c>
      <c r="D84" s="486" t="s">
        <v>717</v>
      </c>
      <c r="E84" s="486" t="s">
        <v>718</v>
      </c>
      <c r="F84" s="486" t="s">
        <v>719</v>
      </c>
      <c r="G84" s="486" t="s">
        <v>720</v>
      </c>
      <c r="H84" s="114" t="s">
        <v>721</v>
      </c>
    </row>
    <row r="85" spans="2:8" x14ac:dyDescent="0.2">
      <c r="B85" s="1" t="s">
        <v>722</v>
      </c>
      <c r="C85" s="1" t="s">
        <v>723</v>
      </c>
      <c r="D85" s="17">
        <v>45979</v>
      </c>
      <c r="E85" s="17" t="s">
        <v>183</v>
      </c>
      <c r="F85" s="14"/>
      <c r="G85" s="47" t="s">
        <v>724</v>
      </c>
    </row>
    <row r="86" spans="2:8" x14ac:dyDescent="0.2">
      <c r="B86" s="1" t="s">
        <v>725</v>
      </c>
      <c r="C86" s="1" t="s">
        <v>726</v>
      </c>
      <c r="D86" s="17">
        <v>45979</v>
      </c>
      <c r="E86" s="17" t="s">
        <v>183</v>
      </c>
      <c r="F86" s="14"/>
      <c r="G86" s="14"/>
    </row>
    <row r="87" spans="2:8" x14ac:dyDescent="0.2">
      <c r="B87" s="1" t="s">
        <v>727</v>
      </c>
      <c r="C87" s="1" t="s">
        <v>723</v>
      </c>
      <c r="D87" s="17"/>
      <c r="E87" s="14"/>
      <c r="F87" s="14"/>
      <c r="G87" s="14"/>
    </row>
    <row r="88" spans="2:8" x14ac:dyDescent="0.2">
      <c r="B88" s="1" t="s">
        <v>728</v>
      </c>
      <c r="C88" s="1" t="s">
        <v>726</v>
      </c>
      <c r="D88" s="14"/>
      <c r="E88" s="14"/>
      <c r="F88" s="14"/>
      <c r="G88" s="14"/>
    </row>
    <row r="90" spans="2:8" x14ac:dyDescent="0.2">
      <c r="B90" t="s">
        <v>729</v>
      </c>
    </row>
    <row r="91" spans="2:8" x14ac:dyDescent="0.2">
      <c r="B91" s="1" t="s">
        <v>730</v>
      </c>
      <c r="C91" s="1" t="s">
        <v>731</v>
      </c>
      <c r="D91" s="17">
        <v>45979</v>
      </c>
      <c r="E91" s="17">
        <v>45984</v>
      </c>
      <c r="F91" s="14" t="s">
        <v>732</v>
      </c>
      <c r="G91" s="14" t="s">
        <v>733</v>
      </c>
    </row>
    <row r="92" spans="2:8" x14ac:dyDescent="0.2">
      <c r="B92" s="1" t="s">
        <v>734</v>
      </c>
    </row>
    <row r="94" spans="2:8" x14ac:dyDescent="0.2">
      <c r="B94" t="s">
        <v>735</v>
      </c>
      <c r="C94" t="s">
        <v>691</v>
      </c>
      <c r="G94" s="34" t="s">
        <v>736</v>
      </c>
    </row>
  </sheetData>
  <sheetProtection formatCells="0" formatColumns="0" formatRows="0" sort="0" autoFilter="0" pivotTables="0"/>
  <autoFilter ref="A1:U52" xr:uid="{4F815ECD-8303-114A-B4B1-56BB374994E1}">
    <filterColumn colId="2">
      <filters>
        <filter val="Core - Compute"/>
        <filter val="Core - Identity"/>
        <filter val="Core - Infra"/>
        <filter val="Core - Network"/>
        <filter val="Core - Observability"/>
        <filter val="Core - Security"/>
        <filter val="Core - Storage"/>
      </filters>
    </filterColumn>
  </autoFilter>
  <sortState xmlns:xlrd2="http://schemas.microsoft.com/office/spreadsheetml/2017/richdata2" ref="A2:U59">
    <sortCondition ref="C2:C55"/>
    <sortCondition ref="B2:B55"/>
  </sortState>
  <mergeCells count="1">
    <mergeCell ref="A57:D58"/>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FA42-A241-4034-8CE9-CDEFD9E36E63}">
  <dimension ref="A1:I10"/>
  <sheetViews>
    <sheetView topLeftCell="A6" zoomScale="130" zoomScaleNormal="130" workbookViewId="0">
      <selection activeCell="H11" sqref="H11"/>
    </sheetView>
  </sheetViews>
  <sheetFormatPr baseColWidth="10" defaultColWidth="8.83203125" defaultRowHeight="15" x14ac:dyDescent="0.2"/>
  <cols>
    <col min="1" max="1" width="7.5" customWidth="1"/>
    <col min="2" max="3" width="12.5" customWidth="1"/>
    <col min="4" max="4" width="64.5" customWidth="1"/>
    <col min="6" max="6" width="13.1640625" customWidth="1"/>
    <col min="8" max="8" width="11.5" customWidth="1"/>
    <col min="9" max="9" width="35.1640625" customWidth="1"/>
  </cols>
  <sheetData>
    <row r="1" spans="1:9" x14ac:dyDescent="0.2">
      <c r="A1" s="2" t="s">
        <v>61</v>
      </c>
      <c r="B1" s="2" t="s">
        <v>285</v>
      </c>
      <c r="C1" s="2" t="s">
        <v>286</v>
      </c>
      <c r="D1" s="2" t="s">
        <v>287</v>
      </c>
      <c r="E1" s="2" t="s">
        <v>288</v>
      </c>
      <c r="F1" s="2" t="s">
        <v>298</v>
      </c>
      <c r="G1" s="2" t="s">
        <v>737</v>
      </c>
      <c r="H1" s="2" t="s">
        <v>738</v>
      </c>
      <c r="I1" s="2" t="s">
        <v>32</v>
      </c>
    </row>
    <row r="2" spans="1:9" ht="76.5" customHeight="1" x14ac:dyDescent="0.2">
      <c r="A2" s="14">
        <v>1</v>
      </c>
      <c r="B2" s="15">
        <v>45859</v>
      </c>
      <c r="C2" s="14" t="s">
        <v>739</v>
      </c>
      <c r="D2" s="16" t="s">
        <v>740</v>
      </c>
      <c r="E2" s="14" t="s">
        <v>445</v>
      </c>
      <c r="F2" s="53" t="s">
        <v>741</v>
      </c>
      <c r="G2" s="17">
        <v>45869</v>
      </c>
      <c r="H2" s="14" t="s">
        <v>742</v>
      </c>
      <c r="I2" s="18" t="s">
        <v>743</v>
      </c>
    </row>
    <row r="3" spans="1:9" ht="66" customHeight="1" x14ac:dyDescent="0.2">
      <c r="A3" s="14">
        <v>2</v>
      </c>
      <c r="B3" s="15">
        <v>45859</v>
      </c>
      <c r="C3" s="14" t="s">
        <v>665</v>
      </c>
      <c r="D3" s="21" t="s">
        <v>744</v>
      </c>
      <c r="E3" s="18" t="s">
        <v>745</v>
      </c>
      <c r="F3" s="53" t="s">
        <v>741</v>
      </c>
      <c r="G3" s="17">
        <v>45869</v>
      </c>
      <c r="H3" s="14" t="s">
        <v>742</v>
      </c>
      <c r="I3" s="18" t="s">
        <v>746</v>
      </c>
    </row>
    <row r="4" spans="1:9" ht="48" x14ac:dyDescent="0.2">
      <c r="A4" s="14">
        <v>3</v>
      </c>
      <c r="B4" s="15">
        <v>45859</v>
      </c>
      <c r="C4" s="14" t="s">
        <v>408</v>
      </c>
      <c r="D4" s="16" t="s">
        <v>747</v>
      </c>
      <c r="E4" s="14" t="s">
        <v>445</v>
      </c>
      <c r="F4" s="19" t="s">
        <v>93</v>
      </c>
      <c r="G4" s="17">
        <v>45869</v>
      </c>
      <c r="H4" s="14" t="s">
        <v>748</v>
      </c>
      <c r="I4" s="18" t="s">
        <v>749</v>
      </c>
    </row>
    <row r="5" spans="1:9" ht="48" x14ac:dyDescent="0.2">
      <c r="A5" s="14">
        <v>4</v>
      </c>
      <c r="B5" s="15">
        <v>45859</v>
      </c>
      <c r="C5" s="14" t="s">
        <v>665</v>
      </c>
      <c r="D5" s="21" t="s">
        <v>750</v>
      </c>
      <c r="E5" s="14" t="s">
        <v>445</v>
      </c>
      <c r="F5" s="53" t="s">
        <v>741</v>
      </c>
      <c r="G5" s="17">
        <v>45863</v>
      </c>
      <c r="H5" s="14" t="s">
        <v>751</v>
      </c>
      <c r="I5" s="24" t="s">
        <v>752</v>
      </c>
    </row>
    <row r="6" spans="1:9" ht="72" customHeight="1" x14ac:dyDescent="0.2">
      <c r="A6" s="14">
        <v>5</v>
      </c>
      <c r="B6" s="15">
        <v>45861</v>
      </c>
      <c r="C6" s="14" t="s">
        <v>753</v>
      </c>
      <c r="D6" s="21" t="s">
        <v>754</v>
      </c>
      <c r="E6" s="14" t="s">
        <v>755</v>
      </c>
      <c r="F6" s="53" t="s">
        <v>741</v>
      </c>
      <c r="G6" s="17">
        <v>45869</v>
      </c>
      <c r="H6" s="18" t="s">
        <v>756</v>
      </c>
      <c r="I6" s="25" t="s">
        <v>757</v>
      </c>
    </row>
    <row r="7" spans="1:9" ht="48" x14ac:dyDescent="0.2">
      <c r="A7" s="10">
        <v>6</v>
      </c>
      <c r="B7" s="33">
        <v>45875</v>
      </c>
      <c r="C7" s="97" t="s">
        <v>758</v>
      </c>
      <c r="D7" s="98" t="s">
        <v>759</v>
      </c>
      <c r="E7" s="10" t="s">
        <v>53</v>
      </c>
      <c r="F7" s="10" t="s">
        <v>93</v>
      </c>
      <c r="G7" s="40">
        <v>45875</v>
      </c>
      <c r="H7" s="10" t="s">
        <v>760</v>
      </c>
      <c r="I7" s="10" t="s">
        <v>761</v>
      </c>
    </row>
    <row r="8" spans="1:9" ht="80" x14ac:dyDescent="0.2">
      <c r="A8" s="10">
        <v>7</v>
      </c>
      <c r="B8" s="33">
        <v>45875</v>
      </c>
      <c r="C8" s="97" t="s">
        <v>758</v>
      </c>
      <c r="D8" s="98" t="s">
        <v>762</v>
      </c>
      <c r="E8" s="10" t="s">
        <v>53</v>
      </c>
      <c r="F8" s="10" t="s">
        <v>93</v>
      </c>
      <c r="G8" s="40">
        <v>45875</v>
      </c>
      <c r="H8" s="10" t="s">
        <v>760</v>
      </c>
      <c r="I8" s="97" t="s">
        <v>763</v>
      </c>
    </row>
    <row r="9" spans="1:9" ht="64" x14ac:dyDescent="0.2">
      <c r="A9" s="10">
        <v>8</v>
      </c>
      <c r="B9" s="33">
        <v>45875</v>
      </c>
      <c r="C9" s="97" t="s">
        <v>408</v>
      </c>
      <c r="D9" s="98" t="s">
        <v>764</v>
      </c>
      <c r="E9" s="10" t="s">
        <v>53</v>
      </c>
      <c r="F9" s="102" t="s">
        <v>741</v>
      </c>
      <c r="G9" s="40">
        <v>45875</v>
      </c>
      <c r="H9" s="10" t="s">
        <v>742</v>
      </c>
      <c r="I9" s="97" t="s">
        <v>765</v>
      </c>
    </row>
    <row r="10" spans="1:9" ht="16" x14ac:dyDescent="0.2">
      <c r="A10" s="38">
        <v>9</v>
      </c>
      <c r="B10" s="50">
        <v>45881</v>
      </c>
      <c r="C10" s="99" t="s">
        <v>766</v>
      </c>
      <c r="D10" s="100" t="s">
        <v>767</v>
      </c>
      <c r="E10" s="38" t="s">
        <v>53</v>
      </c>
      <c r="F10" s="10" t="s">
        <v>93</v>
      </c>
      <c r="G10" s="101">
        <v>45881</v>
      </c>
      <c r="H10" s="38" t="s">
        <v>768</v>
      </c>
      <c r="I10" s="38" t="s">
        <v>769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8AB5-9967-F643-8B5D-7A4281199597}">
  <sheetPr filterMode="1"/>
  <dimension ref="A1:H101"/>
  <sheetViews>
    <sheetView zoomScale="130" zoomScaleNormal="130" workbookViewId="0">
      <pane ySplit="1" topLeftCell="A59" activePane="bottomLeft" state="frozen"/>
      <selection pane="bottomLeft" activeCell="E22" sqref="E22"/>
    </sheetView>
  </sheetViews>
  <sheetFormatPr baseColWidth="10" defaultColWidth="11.5" defaultRowHeight="15" x14ac:dyDescent="0.2"/>
  <cols>
    <col min="1" max="1" width="12.5" style="8" customWidth="1"/>
    <col min="2" max="2" width="12.5" bestFit="1" customWidth="1"/>
    <col min="3" max="3" width="17.5" style="105" customWidth="1"/>
    <col min="4" max="4" width="15" customWidth="1"/>
    <col min="5" max="5" width="94.5" customWidth="1"/>
    <col min="6" max="6" width="18.5" customWidth="1"/>
    <col min="7" max="7" width="25.5" customWidth="1"/>
    <col min="8" max="8" width="25.83203125" customWidth="1"/>
  </cols>
  <sheetData>
    <row r="1" spans="1:8" x14ac:dyDescent="0.2">
      <c r="A1" s="450" t="s">
        <v>770</v>
      </c>
      <c r="B1" s="451" t="s">
        <v>771</v>
      </c>
      <c r="C1" s="452" t="s">
        <v>772</v>
      </c>
      <c r="D1" s="451" t="s">
        <v>773</v>
      </c>
      <c r="E1" s="451" t="s">
        <v>774</v>
      </c>
      <c r="F1" s="451" t="s">
        <v>775</v>
      </c>
      <c r="G1" s="451" t="s">
        <v>298</v>
      </c>
      <c r="H1" s="451" t="s">
        <v>776</v>
      </c>
    </row>
    <row r="2" spans="1:8" hidden="1" x14ac:dyDescent="0.2">
      <c r="A2" s="107">
        <v>45881</v>
      </c>
      <c r="B2" t="s">
        <v>24</v>
      </c>
      <c r="C2" s="105" t="s">
        <v>777</v>
      </c>
      <c r="D2" t="s">
        <v>778</v>
      </c>
      <c r="E2" t="s">
        <v>779</v>
      </c>
      <c r="F2" t="s">
        <v>780</v>
      </c>
      <c r="G2" s="108" t="s">
        <v>50</v>
      </c>
    </row>
    <row r="3" spans="1:8" hidden="1" x14ac:dyDescent="0.2">
      <c r="A3" s="107">
        <v>45881</v>
      </c>
      <c r="B3" t="s">
        <v>24</v>
      </c>
      <c r="C3" s="105" t="s">
        <v>781</v>
      </c>
      <c r="D3" t="s">
        <v>782</v>
      </c>
      <c r="E3" t="s">
        <v>783</v>
      </c>
      <c r="F3" t="s">
        <v>780</v>
      </c>
      <c r="G3" s="108" t="s">
        <v>50</v>
      </c>
    </row>
    <row r="4" spans="1:8" x14ac:dyDescent="0.2">
      <c r="A4" s="107">
        <v>45881</v>
      </c>
      <c r="B4" t="s">
        <v>24</v>
      </c>
      <c r="C4" s="105" t="s">
        <v>784</v>
      </c>
      <c r="D4" t="s">
        <v>785</v>
      </c>
      <c r="E4" t="s">
        <v>786</v>
      </c>
      <c r="F4" t="s">
        <v>787</v>
      </c>
      <c r="G4" s="108" t="s">
        <v>50</v>
      </c>
    </row>
    <row r="5" spans="1:8" x14ac:dyDescent="0.2">
      <c r="A5" s="107">
        <v>45881</v>
      </c>
      <c r="B5" t="s">
        <v>24</v>
      </c>
      <c r="C5" s="105" t="s">
        <v>788</v>
      </c>
      <c r="D5" t="s">
        <v>789</v>
      </c>
      <c r="E5" s="516" t="s">
        <v>790</v>
      </c>
      <c r="F5" t="s">
        <v>787</v>
      </c>
      <c r="G5" s="108" t="s">
        <v>50</v>
      </c>
    </row>
    <row r="6" spans="1:8" hidden="1" x14ac:dyDescent="0.2">
      <c r="A6" s="107">
        <v>45882</v>
      </c>
      <c r="B6" t="s">
        <v>24</v>
      </c>
      <c r="C6" s="105" t="s">
        <v>791</v>
      </c>
      <c r="D6" t="s">
        <v>792</v>
      </c>
      <c r="E6" t="s">
        <v>793</v>
      </c>
      <c r="F6" t="s">
        <v>794</v>
      </c>
      <c r="G6" s="108" t="s">
        <v>50</v>
      </c>
    </row>
    <row r="7" spans="1:8" hidden="1" x14ac:dyDescent="0.2">
      <c r="A7" s="107">
        <v>45882</v>
      </c>
      <c r="B7" t="s">
        <v>795</v>
      </c>
      <c r="C7" s="105" t="s">
        <v>796</v>
      </c>
      <c r="D7" t="s">
        <v>797</v>
      </c>
      <c r="E7" t="s">
        <v>798</v>
      </c>
      <c r="F7" t="s">
        <v>794</v>
      </c>
      <c r="G7" s="108" t="s">
        <v>50</v>
      </c>
    </row>
    <row r="8" spans="1:8" hidden="1" x14ac:dyDescent="0.2">
      <c r="A8" s="107">
        <v>45882</v>
      </c>
      <c r="B8" t="s">
        <v>24</v>
      </c>
      <c r="C8" s="105" t="s">
        <v>799</v>
      </c>
      <c r="D8" t="s">
        <v>800</v>
      </c>
      <c r="E8" t="s">
        <v>801</v>
      </c>
      <c r="F8" t="s">
        <v>794</v>
      </c>
      <c r="G8" s="108" t="s">
        <v>50</v>
      </c>
    </row>
    <row r="9" spans="1:8" hidden="1" x14ac:dyDescent="0.2">
      <c r="A9" s="107">
        <v>45883</v>
      </c>
      <c r="B9" t="s">
        <v>24</v>
      </c>
      <c r="C9" s="105" t="s">
        <v>802</v>
      </c>
      <c r="D9" t="s">
        <v>803</v>
      </c>
      <c r="E9" t="s">
        <v>804</v>
      </c>
      <c r="F9" t="s">
        <v>805</v>
      </c>
      <c r="G9" s="108" t="s">
        <v>50</v>
      </c>
    </row>
    <row r="10" spans="1:8" hidden="1" x14ac:dyDescent="0.2">
      <c r="A10" s="107">
        <v>45883</v>
      </c>
      <c r="B10" t="s">
        <v>24</v>
      </c>
      <c r="C10" s="105" t="s">
        <v>806</v>
      </c>
      <c r="D10" t="s">
        <v>807</v>
      </c>
      <c r="E10" t="s">
        <v>808</v>
      </c>
      <c r="F10" t="s">
        <v>805</v>
      </c>
      <c r="G10" s="108" t="s">
        <v>50</v>
      </c>
    </row>
    <row r="11" spans="1:8" hidden="1" x14ac:dyDescent="0.2">
      <c r="A11" s="107">
        <v>45883</v>
      </c>
      <c r="B11" t="s">
        <v>24</v>
      </c>
      <c r="C11" s="105" t="s">
        <v>809</v>
      </c>
      <c r="D11" t="s">
        <v>810</v>
      </c>
      <c r="E11" t="s">
        <v>811</v>
      </c>
      <c r="F11" t="s">
        <v>536</v>
      </c>
      <c r="G11" s="108" t="s">
        <v>50</v>
      </c>
    </row>
    <row r="12" spans="1:8" hidden="1" x14ac:dyDescent="0.2">
      <c r="A12" s="107">
        <v>45883</v>
      </c>
      <c r="B12" t="s">
        <v>24</v>
      </c>
      <c r="C12" s="105" t="s">
        <v>812</v>
      </c>
      <c r="D12" t="s">
        <v>813</v>
      </c>
      <c r="E12" t="s">
        <v>814</v>
      </c>
      <c r="F12" t="s">
        <v>536</v>
      </c>
      <c r="G12" s="108" t="s">
        <v>50</v>
      </c>
    </row>
    <row r="13" spans="1:8" hidden="1" x14ac:dyDescent="0.2">
      <c r="A13" s="107">
        <v>45883</v>
      </c>
      <c r="B13" t="s">
        <v>24</v>
      </c>
      <c r="C13" s="105" t="s">
        <v>815</v>
      </c>
      <c r="D13" t="s">
        <v>816</v>
      </c>
      <c r="E13" t="s">
        <v>817</v>
      </c>
      <c r="F13" t="s">
        <v>536</v>
      </c>
      <c r="G13" s="108" t="s">
        <v>50</v>
      </c>
    </row>
    <row r="14" spans="1:8" hidden="1" x14ac:dyDescent="0.2">
      <c r="A14" s="107">
        <v>45883</v>
      </c>
      <c r="B14" t="s">
        <v>24</v>
      </c>
      <c r="C14" s="105" t="s">
        <v>818</v>
      </c>
      <c r="D14" t="s">
        <v>819</v>
      </c>
      <c r="E14" t="s">
        <v>820</v>
      </c>
      <c r="F14" t="s">
        <v>536</v>
      </c>
      <c r="G14" s="108" t="s">
        <v>50</v>
      </c>
    </row>
    <row r="15" spans="1:8" hidden="1" x14ac:dyDescent="0.2">
      <c r="A15" s="107">
        <v>45883</v>
      </c>
      <c r="B15" t="s">
        <v>22</v>
      </c>
      <c r="C15" s="105" t="s">
        <v>821</v>
      </c>
      <c r="D15" t="s">
        <v>822</v>
      </c>
      <c r="E15" t="s">
        <v>823</v>
      </c>
      <c r="F15" t="s">
        <v>824</v>
      </c>
      <c r="G15" s="108" t="s">
        <v>50</v>
      </c>
    </row>
    <row r="16" spans="1:8" hidden="1" x14ac:dyDescent="0.2">
      <c r="A16" s="107">
        <v>45883</v>
      </c>
      <c r="B16" t="s">
        <v>795</v>
      </c>
      <c r="C16" s="105" t="s">
        <v>825</v>
      </c>
      <c r="D16" t="s">
        <v>826</v>
      </c>
      <c r="E16" t="s">
        <v>823</v>
      </c>
      <c r="F16" t="s">
        <v>824</v>
      </c>
      <c r="G16" s="108" t="s">
        <v>50</v>
      </c>
    </row>
    <row r="17" spans="1:8" hidden="1" x14ac:dyDescent="0.2">
      <c r="A17" s="107">
        <v>45883</v>
      </c>
      <c r="B17" t="s">
        <v>24</v>
      </c>
      <c r="C17" s="105" t="s">
        <v>827</v>
      </c>
      <c r="D17" t="s">
        <v>828</v>
      </c>
      <c r="E17" t="s">
        <v>829</v>
      </c>
      <c r="F17" t="s">
        <v>536</v>
      </c>
      <c r="G17" s="108" t="s">
        <v>50</v>
      </c>
    </row>
    <row r="18" spans="1:8" hidden="1" x14ac:dyDescent="0.2">
      <c r="A18" s="107">
        <v>45883</v>
      </c>
      <c r="B18" t="s">
        <v>24</v>
      </c>
      <c r="C18" s="105" t="s">
        <v>830</v>
      </c>
      <c r="D18" t="s">
        <v>831</v>
      </c>
      <c r="E18" t="s">
        <v>832</v>
      </c>
      <c r="F18" t="s">
        <v>536</v>
      </c>
      <c r="G18" s="108" t="s">
        <v>50</v>
      </c>
    </row>
    <row r="19" spans="1:8" hidden="1" x14ac:dyDescent="0.2">
      <c r="A19" s="107">
        <v>45887</v>
      </c>
      <c r="B19" t="s">
        <v>795</v>
      </c>
      <c r="C19" s="105" t="s">
        <v>833</v>
      </c>
      <c r="D19" t="s">
        <v>834</v>
      </c>
      <c r="E19" t="s">
        <v>835</v>
      </c>
      <c r="F19" t="s">
        <v>480</v>
      </c>
      <c r="G19" s="108" t="s">
        <v>50</v>
      </c>
    </row>
    <row r="20" spans="1:8" hidden="1" x14ac:dyDescent="0.2">
      <c r="A20" s="107">
        <v>45888</v>
      </c>
      <c r="B20" t="s">
        <v>795</v>
      </c>
      <c r="C20" s="105" t="s">
        <v>836</v>
      </c>
      <c r="D20" t="s">
        <v>837</v>
      </c>
      <c r="E20" t="s">
        <v>838</v>
      </c>
      <c r="F20" t="s">
        <v>780</v>
      </c>
      <c r="G20" s="108" t="s">
        <v>50</v>
      </c>
    </row>
    <row r="21" spans="1:8" hidden="1" x14ac:dyDescent="0.2">
      <c r="A21" s="107">
        <v>45889</v>
      </c>
      <c r="B21" t="s">
        <v>839</v>
      </c>
      <c r="C21" s="105" t="s">
        <v>840</v>
      </c>
      <c r="D21" t="s">
        <v>841</v>
      </c>
      <c r="E21" t="s">
        <v>842</v>
      </c>
      <c r="F21" t="s">
        <v>780</v>
      </c>
      <c r="G21" s="108" t="s">
        <v>50</v>
      </c>
    </row>
    <row r="22" spans="1:8" hidden="1" x14ac:dyDescent="0.2">
      <c r="A22" s="107">
        <v>45895</v>
      </c>
      <c r="B22" t="s">
        <v>795</v>
      </c>
      <c r="C22" s="105" t="s">
        <v>843</v>
      </c>
      <c r="D22" s="118" t="s">
        <v>844</v>
      </c>
      <c r="E22" t="s">
        <v>845</v>
      </c>
      <c r="F22" t="s">
        <v>846</v>
      </c>
      <c r="G22" s="108" t="s">
        <v>50</v>
      </c>
    </row>
    <row r="23" spans="1:8" hidden="1" x14ac:dyDescent="0.2">
      <c r="A23" s="107">
        <v>45895</v>
      </c>
      <c r="B23" t="s">
        <v>795</v>
      </c>
      <c r="C23" s="105" t="s">
        <v>847</v>
      </c>
      <c r="D23" s="118" t="s">
        <v>848</v>
      </c>
      <c r="E23" t="s">
        <v>849</v>
      </c>
      <c r="F23" t="s">
        <v>846</v>
      </c>
      <c r="G23" s="108" t="s">
        <v>50</v>
      </c>
    </row>
    <row r="24" spans="1:8" hidden="1" x14ac:dyDescent="0.2">
      <c r="A24" s="107">
        <v>45895</v>
      </c>
      <c r="B24" t="s">
        <v>795</v>
      </c>
      <c r="C24" s="105" t="s">
        <v>850</v>
      </c>
      <c r="D24" s="118" t="s">
        <v>851</v>
      </c>
      <c r="E24" t="s">
        <v>852</v>
      </c>
      <c r="F24" t="s">
        <v>846</v>
      </c>
      <c r="G24" s="108" t="s">
        <v>50</v>
      </c>
    </row>
    <row r="25" spans="1:8" hidden="1" x14ac:dyDescent="0.2">
      <c r="A25" s="107">
        <v>45895</v>
      </c>
      <c r="B25" t="s">
        <v>795</v>
      </c>
      <c r="C25" s="105" t="s">
        <v>853</v>
      </c>
      <c r="D25" s="118" t="s">
        <v>854</v>
      </c>
      <c r="E25" t="s">
        <v>855</v>
      </c>
      <c r="F25" t="s">
        <v>846</v>
      </c>
      <c r="G25" s="108" t="s">
        <v>50</v>
      </c>
    </row>
    <row r="26" spans="1:8" hidden="1" x14ac:dyDescent="0.2">
      <c r="A26" s="107">
        <v>45889</v>
      </c>
      <c r="B26" t="s">
        <v>856</v>
      </c>
      <c r="C26" s="105" t="s">
        <v>857</v>
      </c>
      <c r="D26" t="s">
        <v>858</v>
      </c>
      <c r="E26" t="s">
        <v>859</v>
      </c>
      <c r="F26" t="s">
        <v>824</v>
      </c>
      <c r="G26" s="108" t="s">
        <v>50</v>
      </c>
    </row>
    <row r="27" spans="1:8" hidden="1" x14ac:dyDescent="0.2">
      <c r="A27" s="107">
        <v>45889</v>
      </c>
      <c r="B27" t="s">
        <v>20</v>
      </c>
      <c r="C27" s="105" t="s">
        <v>860</v>
      </c>
      <c r="D27" t="s">
        <v>861</v>
      </c>
      <c r="E27" t="s">
        <v>859</v>
      </c>
      <c r="F27" t="s">
        <v>824</v>
      </c>
      <c r="G27" s="108" t="s">
        <v>50</v>
      </c>
    </row>
    <row r="28" spans="1:8" hidden="1" x14ac:dyDescent="0.2">
      <c r="A28" s="107">
        <v>45895</v>
      </c>
      <c r="B28" t="s">
        <v>839</v>
      </c>
      <c r="C28" s="105" t="s">
        <v>862</v>
      </c>
      <c r="D28" t="s">
        <v>863</v>
      </c>
      <c r="E28" t="s">
        <v>864</v>
      </c>
      <c r="F28" t="s">
        <v>865</v>
      </c>
      <c r="G28" s="108" t="s">
        <v>50</v>
      </c>
    </row>
    <row r="29" spans="1:8" hidden="1" x14ac:dyDescent="0.2">
      <c r="A29" s="107">
        <v>45895</v>
      </c>
      <c r="B29" t="s">
        <v>839</v>
      </c>
      <c r="C29" s="105" t="s">
        <v>866</v>
      </c>
      <c r="D29" t="s">
        <v>867</v>
      </c>
      <c r="E29" t="s">
        <v>868</v>
      </c>
      <c r="F29" t="s">
        <v>865</v>
      </c>
      <c r="G29" s="108" t="s">
        <v>50</v>
      </c>
    </row>
    <row r="30" spans="1:8" hidden="1" x14ac:dyDescent="0.2">
      <c r="A30" s="107">
        <v>45895</v>
      </c>
      <c r="B30" t="s">
        <v>839</v>
      </c>
      <c r="C30" s="105" t="s">
        <v>869</v>
      </c>
      <c r="D30" t="s">
        <v>870</v>
      </c>
      <c r="E30" t="s">
        <v>871</v>
      </c>
      <c r="F30" t="s">
        <v>865</v>
      </c>
      <c r="G30" s="108" t="s">
        <v>50</v>
      </c>
    </row>
    <row r="31" spans="1:8" hidden="1" x14ac:dyDescent="0.2">
      <c r="D31" s="113" t="s">
        <v>872</v>
      </c>
      <c r="E31" t="s">
        <v>873</v>
      </c>
      <c r="F31" t="s">
        <v>846</v>
      </c>
      <c r="G31" s="108" t="s">
        <v>50</v>
      </c>
      <c r="H31" t="s">
        <v>293</v>
      </c>
    </row>
    <row r="32" spans="1:8" hidden="1" x14ac:dyDescent="0.2">
      <c r="D32" t="s">
        <v>874</v>
      </c>
      <c r="E32" t="s">
        <v>875</v>
      </c>
      <c r="F32" t="s">
        <v>846</v>
      </c>
      <c r="G32" s="108" t="s">
        <v>50</v>
      </c>
      <c r="H32" t="s">
        <v>293</v>
      </c>
    </row>
    <row r="33" spans="3:8" hidden="1" x14ac:dyDescent="0.2">
      <c r="D33" t="s">
        <v>876</v>
      </c>
      <c r="E33" t="s">
        <v>877</v>
      </c>
      <c r="F33" t="s">
        <v>846</v>
      </c>
      <c r="G33" s="108" t="s">
        <v>50</v>
      </c>
    </row>
    <row r="34" spans="3:8" hidden="1" x14ac:dyDescent="0.2">
      <c r="D34" t="s">
        <v>878</v>
      </c>
      <c r="E34" s="114" t="s">
        <v>879</v>
      </c>
      <c r="F34" t="s">
        <v>846</v>
      </c>
      <c r="G34" s="108" t="s">
        <v>50</v>
      </c>
      <c r="H34" t="s">
        <v>293</v>
      </c>
    </row>
    <row r="35" spans="3:8" hidden="1" x14ac:dyDescent="0.2">
      <c r="D35" t="s">
        <v>880</v>
      </c>
      <c r="E35" s="114" t="s">
        <v>881</v>
      </c>
      <c r="F35" t="s">
        <v>846</v>
      </c>
      <c r="G35" s="108" t="s">
        <v>50</v>
      </c>
      <c r="H35" t="s">
        <v>293</v>
      </c>
    </row>
    <row r="36" spans="3:8" hidden="1" x14ac:dyDescent="0.2">
      <c r="D36" t="s">
        <v>882</v>
      </c>
      <c r="E36" s="114" t="s">
        <v>883</v>
      </c>
      <c r="F36" t="s">
        <v>846</v>
      </c>
      <c r="G36" s="108" t="s">
        <v>50</v>
      </c>
      <c r="H36" t="s">
        <v>293</v>
      </c>
    </row>
    <row r="37" spans="3:8" hidden="1" x14ac:dyDescent="0.2">
      <c r="D37" t="s">
        <v>884</v>
      </c>
      <c r="E37" s="114" t="s">
        <v>885</v>
      </c>
      <c r="F37" t="s">
        <v>846</v>
      </c>
      <c r="G37" s="108" t="s">
        <v>50</v>
      </c>
      <c r="H37" t="s">
        <v>293</v>
      </c>
    </row>
    <row r="38" spans="3:8" hidden="1" x14ac:dyDescent="0.2">
      <c r="C38" s="115" t="s">
        <v>886</v>
      </c>
      <c r="E38" t="s">
        <v>887</v>
      </c>
      <c r="F38" t="s">
        <v>846</v>
      </c>
      <c r="G38" s="108" t="s">
        <v>50</v>
      </c>
      <c r="H38" t="s">
        <v>293</v>
      </c>
    </row>
    <row r="39" spans="3:8" hidden="1" x14ac:dyDescent="0.2">
      <c r="C39" s="115" t="s">
        <v>888</v>
      </c>
      <c r="E39" t="s">
        <v>889</v>
      </c>
      <c r="F39" t="s">
        <v>846</v>
      </c>
      <c r="G39" s="108" t="s">
        <v>50</v>
      </c>
      <c r="H39" t="s">
        <v>293</v>
      </c>
    </row>
    <row r="40" spans="3:8" ht="16" hidden="1" x14ac:dyDescent="0.2">
      <c r="D40" s="117" t="s">
        <v>876</v>
      </c>
      <c r="E40" s="116" t="s">
        <v>877</v>
      </c>
      <c r="F40" t="s">
        <v>846</v>
      </c>
      <c r="G40" s="108" t="s">
        <v>50</v>
      </c>
      <c r="H40" t="s">
        <v>293</v>
      </c>
    </row>
    <row r="41" spans="3:8" hidden="1" x14ac:dyDescent="0.2">
      <c r="D41" t="s">
        <v>878</v>
      </c>
      <c r="E41" t="s">
        <v>890</v>
      </c>
      <c r="F41" t="s">
        <v>846</v>
      </c>
      <c r="G41" s="108" t="s">
        <v>50</v>
      </c>
      <c r="H41" t="s">
        <v>293</v>
      </c>
    </row>
    <row r="42" spans="3:8" hidden="1" x14ac:dyDescent="0.2">
      <c r="D42" t="s">
        <v>891</v>
      </c>
      <c r="E42" t="s">
        <v>892</v>
      </c>
      <c r="F42" t="s">
        <v>846</v>
      </c>
      <c r="G42" s="108" t="s">
        <v>50</v>
      </c>
      <c r="H42" t="s">
        <v>293</v>
      </c>
    </row>
    <row r="43" spans="3:8" hidden="1" x14ac:dyDescent="0.2">
      <c r="D43" t="s">
        <v>893</v>
      </c>
      <c r="E43" t="s">
        <v>894</v>
      </c>
      <c r="F43" t="s">
        <v>846</v>
      </c>
      <c r="G43" s="108" t="s">
        <v>50</v>
      </c>
      <c r="H43" t="s">
        <v>293</v>
      </c>
    </row>
    <row r="44" spans="3:8" hidden="1" x14ac:dyDescent="0.2">
      <c r="D44" s="118" t="s">
        <v>895</v>
      </c>
      <c r="E44" t="s">
        <v>896</v>
      </c>
      <c r="F44" t="s">
        <v>846</v>
      </c>
      <c r="G44" s="108" t="s">
        <v>50</v>
      </c>
      <c r="H44" t="s">
        <v>293</v>
      </c>
    </row>
    <row r="45" spans="3:8" hidden="1" x14ac:dyDescent="0.2">
      <c r="D45" s="118" t="s">
        <v>897</v>
      </c>
      <c r="E45" t="s">
        <v>898</v>
      </c>
      <c r="F45" t="s">
        <v>846</v>
      </c>
      <c r="G45" s="108" t="s">
        <v>50</v>
      </c>
      <c r="H45" t="s">
        <v>293</v>
      </c>
    </row>
    <row r="46" spans="3:8" hidden="1" x14ac:dyDescent="0.2">
      <c r="D46" s="118" t="s">
        <v>899</v>
      </c>
      <c r="E46" t="s">
        <v>900</v>
      </c>
      <c r="F46" t="s">
        <v>846</v>
      </c>
      <c r="G46" s="108" t="s">
        <v>50</v>
      </c>
      <c r="H46" t="s">
        <v>293</v>
      </c>
    </row>
    <row r="47" spans="3:8" hidden="1" x14ac:dyDescent="0.2">
      <c r="D47" s="118" t="s">
        <v>901</v>
      </c>
      <c r="E47" t="s">
        <v>902</v>
      </c>
      <c r="F47" t="s">
        <v>846</v>
      </c>
      <c r="G47" s="108" t="s">
        <v>50</v>
      </c>
      <c r="H47" t="s">
        <v>293</v>
      </c>
    </row>
    <row r="48" spans="3:8" hidden="1" x14ac:dyDescent="0.2">
      <c r="D48" s="118" t="s">
        <v>903</v>
      </c>
      <c r="E48" t="s">
        <v>904</v>
      </c>
      <c r="F48" t="s">
        <v>846</v>
      </c>
      <c r="G48" s="108" t="s">
        <v>50</v>
      </c>
      <c r="H48" t="s">
        <v>293</v>
      </c>
    </row>
    <row r="49" spans="1:8" hidden="1" x14ac:dyDescent="0.2">
      <c r="D49" s="118" t="s">
        <v>905</v>
      </c>
      <c r="E49" t="s">
        <v>906</v>
      </c>
      <c r="F49" t="s">
        <v>846</v>
      </c>
      <c r="G49" s="108" t="s">
        <v>50</v>
      </c>
      <c r="H49" t="s">
        <v>293</v>
      </c>
    </row>
    <row r="50" spans="1:8" hidden="1" x14ac:dyDescent="0.2">
      <c r="D50" s="118" t="s">
        <v>907</v>
      </c>
      <c r="E50" t="s">
        <v>908</v>
      </c>
      <c r="F50" t="s">
        <v>846</v>
      </c>
      <c r="G50" s="108" t="s">
        <v>50</v>
      </c>
      <c r="H50" t="s">
        <v>293</v>
      </c>
    </row>
    <row r="51" spans="1:8" hidden="1" x14ac:dyDescent="0.2">
      <c r="D51" s="118" t="s">
        <v>909</v>
      </c>
      <c r="E51" t="s">
        <v>910</v>
      </c>
      <c r="F51" t="s">
        <v>846</v>
      </c>
      <c r="G51" s="108" t="s">
        <v>50</v>
      </c>
      <c r="H51" t="s">
        <v>293</v>
      </c>
    </row>
    <row r="52" spans="1:8" hidden="1" x14ac:dyDescent="0.2">
      <c r="D52" s="118" t="s">
        <v>911</v>
      </c>
      <c r="E52" t="s">
        <v>912</v>
      </c>
      <c r="F52" t="s">
        <v>846</v>
      </c>
      <c r="G52" s="108" t="s">
        <v>50</v>
      </c>
      <c r="H52" t="s">
        <v>293</v>
      </c>
    </row>
    <row r="53" spans="1:8" hidden="1" x14ac:dyDescent="0.2">
      <c r="D53" s="118" t="s">
        <v>913</v>
      </c>
      <c r="E53" t="s">
        <v>914</v>
      </c>
      <c r="F53" t="s">
        <v>846</v>
      </c>
      <c r="G53" s="108" t="s">
        <v>50</v>
      </c>
      <c r="H53" t="s">
        <v>293</v>
      </c>
    </row>
    <row r="54" spans="1:8" hidden="1" x14ac:dyDescent="0.2">
      <c r="D54" s="118" t="s">
        <v>915</v>
      </c>
      <c r="E54" t="s">
        <v>916</v>
      </c>
      <c r="F54" t="s">
        <v>846</v>
      </c>
      <c r="G54" s="108" t="s">
        <v>50</v>
      </c>
      <c r="H54" t="s">
        <v>293</v>
      </c>
    </row>
    <row r="55" spans="1:8" hidden="1" x14ac:dyDescent="0.2">
      <c r="D55" s="118" t="s">
        <v>917</v>
      </c>
      <c r="E55" t="s">
        <v>918</v>
      </c>
      <c r="F55" t="s">
        <v>846</v>
      </c>
      <c r="G55" s="108" t="s">
        <v>50</v>
      </c>
      <c r="H55" t="s">
        <v>293</v>
      </c>
    </row>
    <row r="56" spans="1:8" hidden="1" x14ac:dyDescent="0.2">
      <c r="D56" s="118" t="s">
        <v>919</v>
      </c>
      <c r="E56" t="s">
        <v>920</v>
      </c>
      <c r="F56" t="s">
        <v>846</v>
      </c>
      <c r="G56" s="108" t="s">
        <v>50</v>
      </c>
      <c r="H56" t="s">
        <v>293</v>
      </c>
    </row>
    <row r="57" spans="1:8" hidden="1" x14ac:dyDescent="0.2">
      <c r="A57" s="107">
        <v>45848</v>
      </c>
      <c r="B57" t="s">
        <v>20</v>
      </c>
      <c r="C57" s="105" t="s">
        <v>921</v>
      </c>
      <c r="D57" t="s">
        <v>922</v>
      </c>
      <c r="E57" t="s">
        <v>923</v>
      </c>
      <c r="F57" t="s">
        <v>529</v>
      </c>
      <c r="G57" s="108" t="s">
        <v>50</v>
      </c>
    </row>
    <row r="58" spans="1:8" hidden="1" x14ac:dyDescent="0.2">
      <c r="A58" s="107">
        <v>45896</v>
      </c>
      <c r="B58" t="s">
        <v>20</v>
      </c>
      <c r="C58" s="105" t="s">
        <v>924</v>
      </c>
      <c r="E58" t="s">
        <v>925</v>
      </c>
      <c r="F58" t="s">
        <v>511</v>
      </c>
      <c r="G58" s="108" t="s">
        <v>50</v>
      </c>
      <c r="H58" t="s">
        <v>926</v>
      </c>
    </row>
    <row r="59" spans="1:8" x14ac:dyDescent="0.2">
      <c r="A59" s="107">
        <v>45896</v>
      </c>
      <c r="B59" t="s">
        <v>20</v>
      </c>
      <c r="C59" s="105" t="s">
        <v>927</v>
      </c>
      <c r="E59" t="s">
        <v>928</v>
      </c>
      <c r="F59" t="s">
        <v>511</v>
      </c>
      <c r="G59" s="108" t="s">
        <v>50</v>
      </c>
      <c r="H59" t="s">
        <v>926</v>
      </c>
    </row>
    <row r="60" spans="1:8" x14ac:dyDescent="0.2">
      <c r="A60" s="107">
        <v>45896</v>
      </c>
      <c r="B60" t="s">
        <v>22</v>
      </c>
      <c r="C60" s="105" t="s">
        <v>929</v>
      </c>
      <c r="E60" t="s">
        <v>930</v>
      </c>
      <c r="G60" s="108" t="s">
        <v>50</v>
      </c>
    </row>
    <row r="61" spans="1:8" x14ac:dyDescent="0.2">
      <c r="A61" s="107">
        <v>45896</v>
      </c>
      <c r="B61" t="s">
        <v>24</v>
      </c>
      <c r="C61" s="105" t="s">
        <v>931</v>
      </c>
      <c r="E61" t="s">
        <v>932</v>
      </c>
      <c r="G61" s="108" t="s">
        <v>50</v>
      </c>
    </row>
    <row r="62" spans="1:8" x14ac:dyDescent="0.2">
      <c r="B62" t="s">
        <v>20</v>
      </c>
      <c r="D62" t="s">
        <v>933</v>
      </c>
      <c r="E62" t="s">
        <v>934</v>
      </c>
      <c r="F62" t="s">
        <v>511</v>
      </c>
      <c r="G62" s="108" t="s">
        <v>50</v>
      </c>
      <c r="H62" t="s">
        <v>926</v>
      </c>
    </row>
    <row r="63" spans="1:8" hidden="1" x14ac:dyDescent="0.2">
      <c r="A63" s="107">
        <v>45898</v>
      </c>
      <c r="B63" t="s">
        <v>24</v>
      </c>
      <c r="C63" s="105" t="s">
        <v>935</v>
      </c>
      <c r="D63" t="s">
        <v>936</v>
      </c>
      <c r="E63" t="s">
        <v>937</v>
      </c>
      <c r="F63" t="s">
        <v>480</v>
      </c>
      <c r="G63" s="108" t="s">
        <v>50</v>
      </c>
    </row>
    <row r="64" spans="1:8" hidden="1" x14ac:dyDescent="0.2">
      <c r="A64" s="107">
        <v>45898</v>
      </c>
      <c r="B64" t="s">
        <v>24</v>
      </c>
      <c r="C64" s="105" t="s">
        <v>938</v>
      </c>
      <c r="E64" t="s">
        <v>939</v>
      </c>
      <c r="F64" t="s">
        <v>480</v>
      </c>
      <c r="G64" s="108" t="s">
        <v>50</v>
      </c>
    </row>
    <row r="65" spans="1:8" hidden="1" x14ac:dyDescent="0.2">
      <c r="A65" s="107">
        <v>45898</v>
      </c>
      <c r="B65" t="s">
        <v>24</v>
      </c>
      <c r="C65" s="105" t="s">
        <v>940</v>
      </c>
      <c r="D65" t="s">
        <v>941</v>
      </c>
      <c r="E65" t="s">
        <v>942</v>
      </c>
      <c r="F65" t="s">
        <v>480</v>
      </c>
      <c r="G65" s="108" t="s">
        <v>50</v>
      </c>
    </row>
    <row r="66" spans="1:8" hidden="1" x14ac:dyDescent="0.2">
      <c r="A66" s="107">
        <v>45898</v>
      </c>
      <c r="B66" t="s">
        <v>24</v>
      </c>
      <c r="C66" s="105" t="s">
        <v>943</v>
      </c>
      <c r="D66" t="s">
        <v>944</v>
      </c>
      <c r="E66" t="s">
        <v>945</v>
      </c>
      <c r="F66" t="s">
        <v>480</v>
      </c>
      <c r="G66" s="108" t="s">
        <v>50</v>
      </c>
    </row>
    <row r="67" spans="1:8" hidden="1" x14ac:dyDescent="0.2">
      <c r="A67" s="107">
        <v>45898</v>
      </c>
      <c r="B67" t="s">
        <v>24</v>
      </c>
      <c r="C67" s="105" t="s">
        <v>946</v>
      </c>
      <c r="D67" t="s">
        <v>947</v>
      </c>
      <c r="E67" t="s">
        <v>948</v>
      </c>
      <c r="F67" t="s">
        <v>480</v>
      </c>
      <c r="G67" s="108" t="s">
        <v>50</v>
      </c>
    </row>
    <row r="68" spans="1:8" hidden="1" x14ac:dyDescent="0.2">
      <c r="A68" s="107">
        <v>45898</v>
      </c>
      <c r="B68" t="s">
        <v>24</v>
      </c>
      <c r="C68" s="105" t="s">
        <v>949</v>
      </c>
      <c r="D68" t="s">
        <v>950</v>
      </c>
      <c r="E68" t="s">
        <v>951</v>
      </c>
      <c r="F68" t="s">
        <v>480</v>
      </c>
      <c r="G68" s="108" t="s">
        <v>50</v>
      </c>
    </row>
    <row r="69" spans="1:8" hidden="1" x14ac:dyDescent="0.2">
      <c r="A69" s="107">
        <v>45898</v>
      </c>
      <c r="B69" t="s">
        <v>24</v>
      </c>
      <c r="C69" s="105" t="s">
        <v>952</v>
      </c>
      <c r="D69" t="s">
        <v>953</v>
      </c>
      <c r="E69" t="s">
        <v>954</v>
      </c>
      <c r="F69" t="s">
        <v>480</v>
      </c>
      <c r="G69" s="108" t="s">
        <v>50</v>
      </c>
    </row>
    <row r="70" spans="1:8" hidden="1" x14ac:dyDescent="0.2">
      <c r="A70" s="107">
        <v>45898</v>
      </c>
      <c r="B70" t="s">
        <v>24</v>
      </c>
      <c r="C70" s="105" t="s">
        <v>955</v>
      </c>
      <c r="D70" t="s">
        <v>956</v>
      </c>
      <c r="E70" t="s">
        <v>957</v>
      </c>
      <c r="F70" t="s">
        <v>480</v>
      </c>
      <c r="G70" s="108" t="s">
        <v>50</v>
      </c>
    </row>
    <row r="71" spans="1:8" hidden="1" x14ac:dyDescent="0.2">
      <c r="A71" s="107">
        <v>45898</v>
      </c>
      <c r="B71" t="s">
        <v>958</v>
      </c>
      <c r="C71" s="105" t="s">
        <v>959</v>
      </c>
      <c r="D71" t="s">
        <v>960</v>
      </c>
      <c r="E71" t="s">
        <v>961</v>
      </c>
      <c r="F71" t="s">
        <v>780</v>
      </c>
      <c r="G71" s="108" t="s">
        <v>50</v>
      </c>
    </row>
    <row r="72" spans="1:8" hidden="1" x14ac:dyDescent="0.2">
      <c r="A72" s="107">
        <v>45901</v>
      </c>
      <c r="B72" t="s">
        <v>958</v>
      </c>
      <c r="C72" s="105" t="s">
        <v>962</v>
      </c>
      <c r="D72" t="s">
        <v>963</v>
      </c>
      <c r="E72" t="s">
        <v>964</v>
      </c>
      <c r="F72" t="s">
        <v>780</v>
      </c>
      <c r="G72" s="108" t="s">
        <v>50</v>
      </c>
    </row>
    <row r="73" spans="1:8" hidden="1" x14ac:dyDescent="0.2">
      <c r="A73" s="107">
        <v>45901</v>
      </c>
      <c r="B73" t="s">
        <v>958</v>
      </c>
      <c r="C73" s="105" t="s">
        <v>965</v>
      </c>
      <c r="D73" t="s">
        <v>966</v>
      </c>
      <c r="E73" t="s">
        <v>967</v>
      </c>
      <c r="F73" t="s">
        <v>780</v>
      </c>
      <c r="G73" s="108" t="s">
        <v>50</v>
      </c>
    </row>
    <row r="74" spans="1:8" hidden="1" x14ac:dyDescent="0.2">
      <c r="A74" s="107">
        <v>45901</v>
      </c>
      <c r="B74" s="61" t="s">
        <v>20</v>
      </c>
      <c r="C74" s="115" t="s">
        <v>968</v>
      </c>
      <c r="D74" s="61" t="s">
        <v>922</v>
      </c>
      <c r="E74" s="61" t="s">
        <v>969</v>
      </c>
      <c r="F74" s="61" t="s">
        <v>529</v>
      </c>
      <c r="G74" s="108" t="s">
        <v>50</v>
      </c>
      <c r="H74" s="61"/>
    </row>
    <row r="75" spans="1:8" hidden="1" x14ac:dyDescent="0.2">
      <c r="A75" s="107"/>
      <c r="D75" t="s">
        <v>970</v>
      </c>
      <c r="E75" t="s">
        <v>971</v>
      </c>
      <c r="F75" t="s">
        <v>550</v>
      </c>
      <c r="G75" s="108" t="s">
        <v>50</v>
      </c>
    </row>
    <row r="76" spans="1:8" hidden="1" x14ac:dyDescent="0.2">
      <c r="A76" s="107">
        <v>45903</v>
      </c>
      <c r="B76" t="s">
        <v>24</v>
      </c>
      <c r="C76" s="105" t="s">
        <v>972</v>
      </c>
      <c r="D76" t="s">
        <v>973</v>
      </c>
      <c r="E76" t="s">
        <v>974</v>
      </c>
      <c r="F76" t="s">
        <v>480</v>
      </c>
      <c r="G76" s="108" t="s">
        <v>50</v>
      </c>
    </row>
    <row r="77" spans="1:8" hidden="1" x14ac:dyDescent="0.2">
      <c r="A77" s="107">
        <v>45904</v>
      </c>
      <c r="B77" t="s">
        <v>20</v>
      </c>
      <c r="C77" s="105" t="s">
        <v>975</v>
      </c>
      <c r="D77" t="s">
        <v>976</v>
      </c>
      <c r="E77" t="s">
        <v>977</v>
      </c>
      <c r="F77" t="s">
        <v>480</v>
      </c>
      <c r="G77" s="108" t="s">
        <v>50</v>
      </c>
    </row>
    <row r="78" spans="1:8" hidden="1" x14ac:dyDescent="0.2">
      <c r="A78" s="107">
        <v>45898</v>
      </c>
      <c r="B78" t="s">
        <v>24</v>
      </c>
      <c r="C78" s="105" t="s">
        <v>978</v>
      </c>
      <c r="D78" t="s">
        <v>979</v>
      </c>
      <c r="E78" t="s">
        <v>980</v>
      </c>
      <c r="F78" t="s">
        <v>480</v>
      </c>
      <c r="G78" s="108" t="s">
        <v>50</v>
      </c>
      <c r="H78" t="s">
        <v>290</v>
      </c>
    </row>
    <row r="79" spans="1:8" x14ac:dyDescent="0.2">
      <c r="A79" s="107">
        <v>45915</v>
      </c>
      <c r="B79" t="s">
        <v>20</v>
      </c>
      <c r="C79" s="105" t="s">
        <v>981</v>
      </c>
      <c r="D79" t="s">
        <v>982</v>
      </c>
      <c r="E79" t="s">
        <v>983</v>
      </c>
      <c r="F79" t="s">
        <v>780</v>
      </c>
      <c r="G79" s="108" t="s">
        <v>50</v>
      </c>
      <c r="H79" t="s">
        <v>984</v>
      </c>
    </row>
    <row r="80" spans="1:8" hidden="1" x14ac:dyDescent="0.2">
      <c r="A80" s="107">
        <v>45919</v>
      </c>
      <c r="B80" t="s">
        <v>839</v>
      </c>
      <c r="C80" s="105" t="s">
        <v>985</v>
      </c>
      <c r="D80" t="s">
        <v>986</v>
      </c>
      <c r="E80" t="s">
        <v>987</v>
      </c>
      <c r="F80" t="s">
        <v>846</v>
      </c>
    </row>
    <row r="81" spans="1:7" hidden="1" x14ac:dyDescent="0.2">
      <c r="A81" s="107">
        <v>45919</v>
      </c>
      <c r="B81" t="s">
        <v>839</v>
      </c>
      <c r="C81" s="105" t="s">
        <v>988</v>
      </c>
      <c r="D81" t="s">
        <v>989</v>
      </c>
      <c r="F81" t="s">
        <v>846</v>
      </c>
    </row>
    <row r="82" spans="1:7" hidden="1" x14ac:dyDescent="0.2">
      <c r="A82" s="107">
        <v>45919</v>
      </c>
      <c r="B82" t="s">
        <v>839</v>
      </c>
      <c r="C82" s="105" t="s">
        <v>990</v>
      </c>
      <c r="D82" t="s">
        <v>991</v>
      </c>
      <c r="F82" t="s">
        <v>846</v>
      </c>
    </row>
    <row r="83" spans="1:7" ht="16" hidden="1" customHeight="1" x14ac:dyDescent="0.2">
      <c r="A83" s="107">
        <v>45923</v>
      </c>
      <c r="B83" t="s">
        <v>839</v>
      </c>
      <c r="C83" s="105" t="s">
        <v>992</v>
      </c>
      <c r="D83" t="s">
        <v>993</v>
      </c>
      <c r="E83" t="s">
        <v>994</v>
      </c>
      <c r="F83" t="s">
        <v>995</v>
      </c>
      <c r="G83" s="108" t="s">
        <v>50</v>
      </c>
    </row>
    <row r="84" spans="1:7" ht="16" hidden="1" customHeight="1" x14ac:dyDescent="0.2">
      <c r="A84" s="107">
        <v>45923</v>
      </c>
      <c r="B84" t="s">
        <v>839</v>
      </c>
      <c r="C84" s="105" t="s">
        <v>996</v>
      </c>
      <c r="D84" t="s">
        <v>997</v>
      </c>
      <c r="E84" t="s">
        <v>998</v>
      </c>
      <c r="F84" t="s">
        <v>995</v>
      </c>
      <c r="G84" s="108" t="s">
        <v>50</v>
      </c>
    </row>
    <row r="85" spans="1:7" ht="16" hidden="1" customHeight="1" x14ac:dyDescent="0.2">
      <c r="A85" s="107">
        <v>45923</v>
      </c>
      <c r="B85" t="s">
        <v>839</v>
      </c>
      <c r="C85" s="105" t="s">
        <v>999</v>
      </c>
      <c r="D85" t="s">
        <v>1000</v>
      </c>
      <c r="E85" t="s">
        <v>1001</v>
      </c>
      <c r="F85" t="s">
        <v>995</v>
      </c>
      <c r="G85" s="108" t="s">
        <v>50</v>
      </c>
    </row>
    <row r="86" spans="1:7" ht="16" hidden="1" customHeight="1" x14ac:dyDescent="0.2">
      <c r="A86" s="107">
        <v>45923</v>
      </c>
      <c r="B86" t="s">
        <v>839</v>
      </c>
      <c r="C86" s="105" t="s">
        <v>1002</v>
      </c>
      <c r="D86" t="s">
        <v>1003</v>
      </c>
      <c r="E86" t="s">
        <v>1004</v>
      </c>
      <c r="F86" t="s">
        <v>995</v>
      </c>
      <c r="G86" s="108" t="s">
        <v>50</v>
      </c>
    </row>
    <row r="87" spans="1:7" ht="16" hidden="1" customHeight="1" x14ac:dyDescent="0.2">
      <c r="A87" s="107">
        <v>45923</v>
      </c>
      <c r="B87" t="s">
        <v>839</v>
      </c>
      <c r="C87" s="105" t="s">
        <v>1005</v>
      </c>
      <c r="D87" t="s">
        <v>1006</v>
      </c>
      <c r="E87" t="s">
        <v>1007</v>
      </c>
      <c r="F87" t="s">
        <v>995</v>
      </c>
      <c r="G87" s="108" t="s">
        <v>50</v>
      </c>
    </row>
    <row r="88" spans="1:7" ht="16" hidden="1" customHeight="1" x14ac:dyDescent="0.2">
      <c r="A88" s="107">
        <v>45923</v>
      </c>
      <c r="B88" t="s">
        <v>839</v>
      </c>
      <c r="C88" s="105" t="s">
        <v>1008</v>
      </c>
      <c r="D88" t="s">
        <v>1009</v>
      </c>
      <c r="E88" t="s">
        <v>1010</v>
      </c>
      <c r="F88" t="s">
        <v>995</v>
      </c>
      <c r="G88" s="108" t="s">
        <v>50</v>
      </c>
    </row>
    <row r="89" spans="1:7" ht="16" hidden="1" customHeight="1" x14ac:dyDescent="0.2">
      <c r="A89" s="107">
        <v>45923</v>
      </c>
      <c r="B89" t="s">
        <v>839</v>
      </c>
      <c r="C89" s="105" t="s">
        <v>1011</v>
      </c>
      <c r="D89" t="s">
        <v>1009</v>
      </c>
      <c r="E89" s="52" t="s">
        <v>1012</v>
      </c>
      <c r="F89" t="s">
        <v>995</v>
      </c>
      <c r="G89" s="108" t="s">
        <v>50</v>
      </c>
    </row>
    <row r="90" spans="1:7" ht="16" hidden="1" customHeight="1" x14ac:dyDescent="0.2">
      <c r="A90" s="107">
        <v>45923</v>
      </c>
      <c r="B90" t="s">
        <v>839</v>
      </c>
      <c r="C90" s="105" t="s">
        <v>1013</v>
      </c>
      <c r="D90" t="s">
        <v>1014</v>
      </c>
      <c r="E90" t="s">
        <v>1015</v>
      </c>
      <c r="F90" t="s">
        <v>995</v>
      </c>
      <c r="G90" s="108" t="s">
        <v>50</v>
      </c>
    </row>
    <row r="91" spans="1:7" ht="16" hidden="1" customHeight="1" x14ac:dyDescent="0.2">
      <c r="A91" s="107">
        <v>45923</v>
      </c>
      <c r="B91" t="s">
        <v>839</v>
      </c>
      <c r="C91" s="105" t="s">
        <v>1016</v>
      </c>
      <c r="D91" t="s">
        <v>1017</v>
      </c>
      <c r="E91" t="s">
        <v>1018</v>
      </c>
      <c r="F91" t="s">
        <v>995</v>
      </c>
      <c r="G91" s="108" t="s">
        <v>50</v>
      </c>
    </row>
    <row r="92" spans="1:7" ht="16" hidden="1" customHeight="1" x14ac:dyDescent="0.2">
      <c r="A92" s="107">
        <v>45923</v>
      </c>
      <c r="B92" t="s">
        <v>839</v>
      </c>
      <c r="C92" s="105" t="s">
        <v>1019</v>
      </c>
      <c r="D92" t="s">
        <v>1020</v>
      </c>
      <c r="E92" t="s">
        <v>1021</v>
      </c>
      <c r="F92" t="s">
        <v>995</v>
      </c>
      <c r="G92" s="108" t="s">
        <v>50</v>
      </c>
    </row>
    <row r="93" spans="1:7" ht="16" hidden="1" customHeight="1" x14ac:dyDescent="0.2">
      <c r="A93" s="107">
        <v>45923</v>
      </c>
      <c r="B93" t="s">
        <v>839</v>
      </c>
      <c r="C93" s="105" t="s">
        <v>1022</v>
      </c>
      <c r="D93" t="s">
        <v>1023</v>
      </c>
      <c r="E93" t="s">
        <v>1024</v>
      </c>
      <c r="F93" t="s">
        <v>995</v>
      </c>
      <c r="G93" s="108" t="s">
        <v>50</v>
      </c>
    </row>
    <row r="94" spans="1:7" ht="16" hidden="1" customHeight="1" x14ac:dyDescent="0.2">
      <c r="A94" s="107">
        <v>45923</v>
      </c>
      <c r="B94" t="s">
        <v>839</v>
      </c>
      <c r="C94" s="105" t="s">
        <v>1025</v>
      </c>
      <c r="E94" t="s">
        <v>1026</v>
      </c>
      <c r="F94" t="s">
        <v>995</v>
      </c>
      <c r="G94" t="s">
        <v>1027</v>
      </c>
    </row>
    <row r="95" spans="1:7" x14ac:dyDescent="0.2">
      <c r="A95" s="107">
        <v>45925</v>
      </c>
      <c r="B95" t="s">
        <v>839</v>
      </c>
      <c r="C95" s="105" t="s">
        <v>1028</v>
      </c>
      <c r="D95" t="s">
        <v>1029</v>
      </c>
      <c r="E95" t="s">
        <v>786</v>
      </c>
      <c r="F95" t="s">
        <v>787</v>
      </c>
      <c r="G95" s="108" t="s">
        <v>50</v>
      </c>
    </row>
    <row r="96" spans="1:7" x14ac:dyDescent="0.2">
      <c r="A96" s="107">
        <v>45925</v>
      </c>
      <c r="B96" t="s">
        <v>839</v>
      </c>
      <c r="C96" s="105" t="s">
        <v>1030</v>
      </c>
      <c r="D96" t="s">
        <v>1031</v>
      </c>
      <c r="E96" s="516" t="s">
        <v>1032</v>
      </c>
      <c r="F96" t="s">
        <v>787</v>
      </c>
      <c r="G96" s="108" t="s">
        <v>50</v>
      </c>
    </row>
    <row r="97" spans="1:7" x14ac:dyDescent="0.2">
      <c r="A97" s="107">
        <v>45926</v>
      </c>
      <c r="B97" t="s">
        <v>839</v>
      </c>
      <c r="C97" s="105" t="s">
        <v>1030</v>
      </c>
      <c r="D97" t="s">
        <v>1031</v>
      </c>
      <c r="E97" s="516" t="s">
        <v>1033</v>
      </c>
      <c r="F97" t="s">
        <v>787</v>
      </c>
      <c r="G97" s="108" t="s">
        <v>50</v>
      </c>
    </row>
    <row r="98" spans="1:7" hidden="1" x14ac:dyDescent="0.2">
      <c r="A98" s="453">
        <v>45932</v>
      </c>
      <c r="B98" s="61" t="s">
        <v>839</v>
      </c>
      <c r="C98" s="454" t="s">
        <v>1034</v>
      </c>
      <c r="D98" s="61"/>
      <c r="E98" s="61" t="s">
        <v>1035</v>
      </c>
      <c r="F98" s="61" t="s">
        <v>536</v>
      </c>
    </row>
    <row r="99" spans="1:7" hidden="1" x14ac:dyDescent="0.2">
      <c r="A99" s="453">
        <v>45932</v>
      </c>
      <c r="B99" s="61" t="s">
        <v>839</v>
      </c>
      <c r="C99" s="454" t="s">
        <v>1036</v>
      </c>
      <c r="D99" s="61"/>
      <c r="E99" s="61" t="s">
        <v>1037</v>
      </c>
      <c r="F99" s="61" t="s">
        <v>536</v>
      </c>
    </row>
    <row r="100" spans="1:7" hidden="1" x14ac:dyDescent="0.2">
      <c r="A100" s="453">
        <v>45932</v>
      </c>
      <c r="B100" s="61" t="s">
        <v>839</v>
      </c>
      <c r="C100" s="454" t="s">
        <v>1038</v>
      </c>
      <c r="D100" s="61"/>
      <c r="E100" s="61" t="s">
        <v>1039</v>
      </c>
      <c r="F100" s="61" t="s">
        <v>536</v>
      </c>
    </row>
    <row r="101" spans="1:7" hidden="1" x14ac:dyDescent="0.2">
      <c r="A101" s="453">
        <v>45932</v>
      </c>
      <c r="B101" s="61" t="s">
        <v>839</v>
      </c>
      <c r="C101" s="454" t="s">
        <v>1040</v>
      </c>
      <c r="D101" s="61"/>
      <c r="E101" s="61" t="s">
        <v>1041</v>
      </c>
      <c r="F101" s="61" t="s">
        <v>536</v>
      </c>
    </row>
  </sheetData>
  <autoFilter ref="A1:H101" xr:uid="{09268AB5-9967-F643-8B5D-7A4281199597}">
    <filterColumn colId="4">
      <filters>
        <filter val="AKS DEV to HK STS token"/>
        <filter val="AKS SIT to HK STS token"/>
        <filter val="AKS to Cloudflow SG"/>
        <filter val="AKS UAT to HK STS token"/>
        <filter val="Ali ACK (Egress) to AKS APIM"/>
        <filter val="Ali ACK (Egress) to Azure AKS APIM EAS"/>
        <filter val="Ali ACK (Egress) to Azure AKS APIM SEA"/>
        <filter val="Azure AKS Pod -&gt; Ali ALB (ALB)"/>
        <filter val="RSF - Azure RSF cluster (aks-eas-yoda-cluster) to Alicloud RSF ACK cluster"/>
      </filters>
    </filterColumn>
  </autoFilter>
  <hyperlinks>
    <hyperlink ref="D44" r:id="rId1" xr:uid="{5F581617-FB02-4658-AC4E-C7033D1A1AA0}"/>
    <hyperlink ref="D49" r:id="rId2" xr:uid="{6EDF44E8-C94C-4C75-BD47-38B2783A4650}"/>
    <hyperlink ref="D50" r:id="rId3" xr:uid="{3CDE1F1E-533E-470B-8C77-24CC79CBD375}"/>
    <hyperlink ref="D51" r:id="rId4" xr:uid="{82DF82CA-76EE-49EA-ACA8-6B21572B56C6}"/>
    <hyperlink ref="D52" r:id="rId5" xr:uid="{62FC49B6-88E8-4401-9273-9AE206933F4E}"/>
    <hyperlink ref="D53" r:id="rId6" xr:uid="{4FDF0AC2-2B0E-432C-B375-90EF03E3554A}"/>
    <hyperlink ref="D54" r:id="rId7" xr:uid="{802C7E6E-4DD6-4F31-9CCE-469418BA6A56}"/>
    <hyperlink ref="D55" r:id="rId8" xr:uid="{D25028AB-1033-4A2E-8EC2-CDB58CF72B2D}"/>
    <hyperlink ref="D56" r:id="rId9" xr:uid="{574AFB9B-F2F5-4ABA-A06A-A1EBD073CB2E}"/>
    <hyperlink ref="D22" r:id="rId10" xr:uid="{810F6AA9-FCEB-4E1C-A5B5-3805BFD26B73}"/>
    <hyperlink ref="D23" r:id="rId11" xr:uid="{D0F7DE02-5B04-4F44-AC92-ECD19E361FDA}"/>
    <hyperlink ref="D24" r:id="rId12" xr:uid="{CF0A4E7E-B57B-4B6F-AB34-84A86E6233DB}"/>
    <hyperlink ref="D25" r:id="rId13" xr:uid="{7A466838-D21E-4331-892E-38963B9B28EC}"/>
  </hyperlinks>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B534-B124-4B77-A77A-95CE59067057}">
  <dimension ref="A1:E20"/>
  <sheetViews>
    <sheetView zoomScale="140" zoomScaleNormal="140" workbookViewId="0">
      <selection activeCell="A16" sqref="A16"/>
    </sheetView>
  </sheetViews>
  <sheetFormatPr baseColWidth="10" defaultColWidth="8.83203125" defaultRowHeight="15" x14ac:dyDescent="0.2"/>
  <cols>
    <col min="1" max="1" width="37.5" customWidth="1"/>
    <col min="2" max="2" width="17.5" customWidth="1"/>
    <col min="3" max="3" width="11.5" customWidth="1"/>
    <col min="4" max="4" width="20.5" customWidth="1"/>
    <col min="5" max="5" width="10.83203125" customWidth="1"/>
  </cols>
  <sheetData>
    <row r="1" spans="1:5" x14ac:dyDescent="0.2">
      <c r="A1" s="30" t="s">
        <v>1042</v>
      </c>
      <c r="B1" s="30" t="s">
        <v>298</v>
      </c>
      <c r="C1" s="1" t="s">
        <v>1043</v>
      </c>
    </row>
    <row r="2" spans="1:5" ht="16" x14ac:dyDescent="0.2">
      <c r="A2" s="26" t="s">
        <v>1044</v>
      </c>
      <c r="B2" s="1" t="s">
        <v>1045</v>
      </c>
    </row>
    <row r="3" spans="1:5" ht="16" x14ac:dyDescent="0.2">
      <c r="A3" s="26" t="s">
        <v>1046</v>
      </c>
      <c r="B3" s="1" t="s">
        <v>1042</v>
      </c>
    </row>
    <row r="4" spans="1:5" ht="16" x14ac:dyDescent="0.2">
      <c r="A4" s="26" t="s">
        <v>1047</v>
      </c>
      <c r="B4" s="1" t="s">
        <v>662</v>
      </c>
    </row>
    <row r="5" spans="1:5" ht="16" x14ac:dyDescent="0.2">
      <c r="A5" s="26" t="s">
        <v>1048</v>
      </c>
      <c r="B5" s="1" t="s">
        <v>662</v>
      </c>
      <c r="C5" t="s">
        <v>1049</v>
      </c>
      <c r="E5" t="s">
        <v>683</v>
      </c>
    </row>
    <row r="6" spans="1:5" ht="16" x14ac:dyDescent="0.2">
      <c r="A6" s="26" t="s">
        <v>1050</v>
      </c>
      <c r="B6" s="1" t="s">
        <v>1042</v>
      </c>
    </row>
    <row r="7" spans="1:5" ht="16" x14ac:dyDescent="0.2">
      <c r="A7" s="26" t="s">
        <v>408</v>
      </c>
      <c r="B7" s="1" t="s">
        <v>1042</v>
      </c>
      <c r="E7" t="s">
        <v>290</v>
      </c>
    </row>
    <row r="8" spans="1:5" ht="16" x14ac:dyDescent="0.2">
      <c r="A8" s="26" t="s">
        <v>1051</v>
      </c>
      <c r="B8" s="1" t="s">
        <v>662</v>
      </c>
    </row>
    <row r="9" spans="1:5" ht="16" x14ac:dyDescent="0.2">
      <c r="A9" s="26" t="s">
        <v>1052</v>
      </c>
      <c r="B9" s="1" t="s">
        <v>662</v>
      </c>
    </row>
    <row r="10" spans="1:5" ht="16" x14ac:dyDescent="0.2">
      <c r="A10" s="26" t="s">
        <v>1053</v>
      </c>
      <c r="B10" s="1" t="s">
        <v>1054</v>
      </c>
    </row>
    <row r="11" spans="1:5" ht="16" x14ac:dyDescent="0.2">
      <c r="A11" s="455" t="s">
        <v>1055</v>
      </c>
      <c r="B11" s="11" t="s">
        <v>1042</v>
      </c>
      <c r="C11" t="s">
        <v>1056</v>
      </c>
      <c r="E11" t="s">
        <v>290</v>
      </c>
    </row>
    <row r="12" spans="1:5" ht="16" x14ac:dyDescent="0.2">
      <c r="A12" s="456" t="s">
        <v>1057</v>
      </c>
      <c r="B12" s="9" t="s">
        <v>1058</v>
      </c>
      <c r="C12" t="s">
        <v>1059</v>
      </c>
      <c r="E12" t="s">
        <v>290</v>
      </c>
    </row>
    <row r="13" spans="1:5" x14ac:dyDescent="0.2">
      <c r="A13" s="35" t="s">
        <v>1060</v>
      </c>
      <c r="B13" s="9" t="s">
        <v>1061</v>
      </c>
      <c r="E13" t="s">
        <v>290</v>
      </c>
    </row>
    <row r="16" spans="1:5" x14ac:dyDescent="0.2">
      <c r="A16" t="s">
        <v>625</v>
      </c>
      <c r="B16" t="s">
        <v>662</v>
      </c>
    </row>
    <row r="17" spans="1:2" x14ac:dyDescent="0.2">
      <c r="A17" t="s">
        <v>628</v>
      </c>
      <c r="B17" t="s">
        <v>662</v>
      </c>
    </row>
    <row r="18" spans="1:2" x14ac:dyDescent="0.2">
      <c r="A18" t="s">
        <v>1062</v>
      </c>
      <c r="B18" t="s">
        <v>662</v>
      </c>
    </row>
    <row r="19" spans="1:2" x14ac:dyDescent="0.2">
      <c r="A19" t="s">
        <v>598</v>
      </c>
      <c r="B19" t="s">
        <v>662</v>
      </c>
    </row>
    <row r="20" spans="1:2" x14ac:dyDescent="0.2">
      <c r="A20" t="s">
        <v>583</v>
      </c>
      <c r="B20" t="s">
        <v>662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5E8C-92B9-47C0-A2B0-567EE1976091}">
  <dimension ref="A1:E42"/>
  <sheetViews>
    <sheetView zoomScale="110" zoomScaleNormal="110" workbookViewId="0">
      <selection activeCell="B17" sqref="B17"/>
    </sheetView>
  </sheetViews>
  <sheetFormatPr baseColWidth="10" defaultColWidth="8.83203125" defaultRowHeight="15" x14ac:dyDescent="0.2"/>
  <cols>
    <col min="1" max="1" width="42.5" customWidth="1"/>
    <col min="2" max="2" width="17.5" customWidth="1"/>
    <col min="3" max="3" width="24.5" customWidth="1"/>
    <col min="4" max="4" width="20.5" customWidth="1"/>
    <col min="5" max="5" width="10.83203125" customWidth="1"/>
  </cols>
  <sheetData>
    <row r="1" spans="1:5" x14ac:dyDescent="0.2">
      <c r="A1" s="30" t="s">
        <v>1042</v>
      </c>
      <c r="B1" s="30" t="s">
        <v>298</v>
      </c>
      <c r="C1" s="1" t="s">
        <v>1043</v>
      </c>
    </row>
    <row r="2" spans="1:5" ht="16" x14ac:dyDescent="0.2">
      <c r="A2" s="26" t="s">
        <v>408</v>
      </c>
      <c r="B2" s="1" t="s">
        <v>1042</v>
      </c>
      <c r="C2" s="1"/>
    </row>
    <row r="3" spans="1:5" x14ac:dyDescent="0.2">
      <c r="A3" s="1" t="s">
        <v>590</v>
      </c>
      <c r="B3" s="1"/>
      <c r="C3" s="1"/>
    </row>
    <row r="4" spans="1:5" ht="16" x14ac:dyDescent="0.2">
      <c r="A4" s="87" t="s">
        <v>1057</v>
      </c>
      <c r="B4" s="1" t="s">
        <v>1058</v>
      </c>
      <c r="C4" s="1" t="s">
        <v>1059</v>
      </c>
    </row>
    <row r="5" spans="1:5" x14ac:dyDescent="0.2">
      <c r="A5" s="13" t="s">
        <v>1060</v>
      </c>
      <c r="B5" s="1" t="s">
        <v>1061</v>
      </c>
      <c r="C5" s="1"/>
      <c r="E5" t="s">
        <v>683</v>
      </c>
    </row>
    <row r="6" spans="1:5" ht="16" x14ac:dyDescent="0.2">
      <c r="A6" s="26" t="s">
        <v>1052</v>
      </c>
      <c r="B6" s="1" t="s">
        <v>662</v>
      </c>
      <c r="C6" s="1"/>
    </row>
    <row r="7" spans="1:5" ht="16" x14ac:dyDescent="0.2">
      <c r="A7" s="26" t="s">
        <v>1053</v>
      </c>
      <c r="B7" s="1" t="s">
        <v>1054</v>
      </c>
      <c r="C7" s="1"/>
      <c r="E7" t="s">
        <v>290</v>
      </c>
    </row>
    <row r="8" spans="1:5" x14ac:dyDescent="0.2">
      <c r="A8" s="1" t="s">
        <v>605</v>
      </c>
      <c r="B8" s="1"/>
      <c r="C8" s="1"/>
    </row>
    <row r="9" spans="1:5" ht="16" x14ac:dyDescent="0.2">
      <c r="A9" s="26" t="s">
        <v>1051</v>
      </c>
      <c r="B9" s="1" t="s">
        <v>662</v>
      </c>
      <c r="C9" s="1"/>
    </row>
    <row r="10" spans="1:5" x14ac:dyDescent="0.2">
      <c r="A10" s="1" t="s">
        <v>623</v>
      </c>
      <c r="B10" s="1"/>
      <c r="C10" s="1"/>
    </row>
    <row r="11" spans="1:5" x14ac:dyDescent="0.2">
      <c r="A11" s="1" t="s">
        <v>1063</v>
      </c>
      <c r="B11" s="1"/>
      <c r="C11" s="1"/>
      <c r="E11" t="s">
        <v>290</v>
      </c>
    </row>
    <row r="12" spans="1:5" ht="16" x14ac:dyDescent="0.2">
      <c r="A12" s="26" t="s">
        <v>1046</v>
      </c>
      <c r="B12" s="1" t="s">
        <v>1042</v>
      </c>
      <c r="C12" s="1"/>
      <c r="E12" t="s">
        <v>290</v>
      </c>
    </row>
    <row r="13" spans="1:5" ht="16" x14ac:dyDescent="0.2">
      <c r="A13" s="26" t="s">
        <v>1047</v>
      </c>
      <c r="B13" s="1" t="s">
        <v>662</v>
      </c>
      <c r="C13" s="1"/>
      <c r="E13" t="s">
        <v>290</v>
      </c>
    </row>
    <row r="14" spans="1:5" ht="16" x14ac:dyDescent="0.2">
      <c r="A14" s="26" t="s">
        <v>1044</v>
      </c>
      <c r="B14" s="464" t="s">
        <v>1045</v>
      </c>
      <c r="C14" s="1"/>
    </row>
    <row r="15" spans="1:5" ht="16" x14ac:dyDescent="0.2">
      <c r="A15" s="26" t="s">
        <v>607</v>
      </c>
      <c r="B15" s="1"/>
      <c r="C15" s="1"/>
    </row>
    <row r="16" spans="1:5" ht="48" x14ac:dyDescent="0.2">
      <c r="A16" s="46" t="s">
        <v>609</v>
      </c>
      <c r="B16" s="1"/>
      <c r="C16" s="1"/>
    </row>
    <row r="17" spans="1:3" x14ac:dyDescent="0.2">
      <c r="A17" s="1" t="s">
        <v>1062</v>
      </c>
      <c r="B17" s="1" t="s">
        <v>662</v>
      </c>
      <c r="C17" s="1"/>
    </row>
    <row r="18" spans="1:3" ht="48" x14ac:dyDescent="0.2">
      <c r="A18" s="46" t="s">
        <v>1064</v>
      </c>
      <c r="B18" s="1"/>
      <c r="C18" s="1"/>
    </row>
    <row r="19" spans="1:3" x14ac:dyDescent="0.2">
      <c r="A19" s="1" t="s">
        <v>581</v>
      </c>
      <c r="B19" s="1"/>
      <c r="C19" s="1"/>
    </row>
    <row r="20" spans="1:3" x14ac:dyDescent="0.2">
      <c r="A20" s="1" t="s">
        <v>582</v>
      </c>
      <c r="B20" s="1"/>
      <c r="C20" s="1"/>
    </row>
    <row r="21" spans="1:3" x14ac:dyDescent="0.2">
      <c r="A21" s="1" t="s">
        <v>583</v>
      </c>
      <c r="B21" s="1" t="s">
        <v>662</v>
      </c>
      <c r="C21" s="1"/>
    </row>
    <row r="22" spans="1:3" x14ac:dyDescent="0.2">
      <c r="A22" s="1" t="s">
        <v>625</v>
      </c>
      <c r="B22" s="1" t="s">
        <v>662</v>
      </c>
      <c r="C22" s="1"/>
    </row>
    <row r="23" spans="1:3" x14ac:dyDescent="0.2">
      <c r="A23" s="1" t="s">
        <v>584</v>
      </c>
      <c r="B23" s="1"/>
      <c r="C23" s="1"/>
    </row>
    <row r="24" spans="1:3" x14ac:dyDescent="0.2">
      <c r="A24" s="1" t="s">
        <v>592</v>
      </c>
      <c r="B24" s="1"/>
      <c r="C24" s="1"/>
    </row>
    <row r="25" spans="1:3" x14ac:dyDescent="0.2">
      <c r="A25" s="1" t="s">
        <v>573</v>
      </c>
      <c r="B25" s="1"/>
      <c r="C25" s="1"/>
    </row>
    <row r="26" spans="1:3" ht="16" x14ac:dyDescent="0.2">
      <c r="A26" s="26" t="s">
        <v>1048</v>
      </c>
      <c r="B26" s="1" t="s">
        <v>662</v>
      </c>
      <c r="C26" s="1" t="s">
        <v>1049</v>
      </c>
    </row>
    <row r="27" spans="1:3" x14ac:dyDescent="0.2">
      <c r="A27" s="1" t="s">
        <v>627</v>
      </c>
      <c r="B27" s="1"/>
      <c r="C27" s="1"/>
    </row>
    <row r="28" spans="1:3" x14ac:dyDescent="0.2">
      <c r="A28" s="1" t="s">
        <v>598</v>
      </c>
      <c r="B28" s="1" t="s">
        <v>662</v>
      </c>
      <c r="C28" s="1"/>
    </row>
    <row r="29" spans="1:3" x14ac:dyDescent="0.2">
      <c r="A29" s="1" t="s">
        <v>628</v>
      </c>
      <c r="B29" s="1" t="s">
        <v>662</v>
      </c>
      <c r="C29" s="1"/>
    </row>
    <row r="30" spans="1:3" x14ac:dyDescent="0.2">
      <c r="A30" s="1" t="s">
        <v>1065</v>
      </c>
      <c r="B30" s="1"/>
      <c r="C30" s="1"/>
    </row>
    <row r="31" spans="1:3" x14ac:dyDescent="0.2">
      <c r="A31" s="48" t="s">
        <v>585</v>
      </c>
      <c r="B31" s="1"/>
      <c r="C31" s="1"/>
    </row>
    <row r="32" spans="1:3" x14ac:dyDescent="0.2">
      <c r="A32" s="1" t="s">
        <v>1066</v>
      </c>
      <c r="B32" s="1"/>
      <c r="C32" s="1"/>
    </row>
    <row r="33" spans="1:3" x14ac:dyDescent="0.2">
      <c r="A33" s="1" t="s">
        <v>604</v>
      </c>
      <c r="B33" s="1"/>
      <c r="C33" s="1"/>
    </row>
    <row r="34" spans="1:3" x14ac:dyDescent="0.2">
      <c r="A34" s="1" t="s">
        <v>1067</v>
      </c>
      <c r="B34" s="1"/>
      <c r="C34" s="1"/>
    </row>
    <row r="35" spans="1:3" x14ac:dyDescent="0.2">
      <c r="A35" s="1" t="s">
        <v>601</v>
      </c>
      <c r="B35" s="1"/>
      <c r="C35" s="1"/>
    </row>
    <row r="36" spans="1:3" ht="64" x14ac:dyDescent="0.2">
      <c r="A36" s="46" t="s">
        <v>579</v>
      </c>
      <c r="B36" s="1"/>
      <c r="C36" s="1"/>
    </row>
    <row r="37" spans="1:3" x14ac:dyDescent="0.2">
      <c r="A37" s="1" t="s">
        <v>1068</v>
      </c>
      <c r="B37" s="1"/>
      <c r="C37" s="1"/>
    </row>
    <row r="38" spans="1:3" x14ac:dyDescent="0.2">
      <c r="A38" s="1" t="s">
        <v>602</v>
      </c>
      <c r="B38" s="1"/>
      <c r="C38" s="1"/>
    </row>
    <row r="39" spans="1:3" ht="16" x14ac:dyDescent="0.2">
      <c r="A39" s="26" t="s">
        <v>1055</v>
      </c>
      <c r="B39" s="1" t="s">
        <v>1042</v>
      </c>
      <c r="C39" s="1" t="s">
        <v>1056</v>
      </c>
    </row>
    <row r="40" spans="1:3" x14ac:dyDescent="0.2">
      <c r="A40" s="1" t="s">
        <v>1069</v>
      </c>
      <c r="B40" s="1"/>
      <c r="C40" s="1"/>
    </row>
    <row r="41" spans="1:3" ht="16" x14ac:dyDescent="0.2">
      <c r="A41" s="26" t="s">
        <v>1050</v>
      </c>
      <c r="B41" s="1" t="s">
        <v>1042</v>
      </c>
      <c r="C41" s="1"/>
    </row>
    <row r="42" spans="1:3" x14ac:dyDescent="0.2">
      <c r="A42" s="1" t="s">
        <v>1070</v>
      </c>
      <c r="B42" s="1"/>
      <c r="C42" s="1"/>
    </row>
  </sheetData>
  <sortState xmlns:xlrd2="http://schemas.microsoft.com/office/spreadsheetml/2017/richdata2" ref="A2:C42">
    <sortCondition ref="A1:A42"/>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E565-C60B-F140-8258-1FA14F1AB89A}">
  <dimension ref="B1:D44"/>
  <sheetViews>
    <sheetView zoomScale="130" zoomScaleNormal="130" workbookViewId="0">
      <pane ySplit="1" topLeftCell="A15" activePane="bottomLeft" state="frozen"/>
      <selection pane="bottomLeft" activeCell="D13" sqref="D13"/>
    </sheetView>
  </sheetViews>
  <sheetFormatPr baseColWidth="10" defaultColWidth="11.5" defaultRowHeight="15" x14ac:dyDescent="0.2"/>
  <cols>
    <col min="1" max="1" width="8.6640625" customWidth="1"/>
    <col min="2" max="2" width="37.1640625" bestFit="1" customWidth="1"/>
    <col min="3" max="3" width="9.6640625" customWidth="1"/>
    <col min="4" max="4" width="47.33203125" bestFit="1" customWidth="1"/>
  </cols>
  <sheetData>
    <row r="1" spans="2:4" x14ac:dyDescent="0.2">
      <c r="B1" s="519" t="s">
        <v>1071</v>
      </c>
      <c r="C1" s="519" t="s">
        <v>1072</v>
      </c>
      <c r="D1" s="519" t="s">
        <v>1073</v>
      </c>
    </row>
    <row r="2" spans="2:4" x14ac:dyDescent="0.2">
      <c r="B2" t="s">
        <v>1074</v>
      </c>
      <c r="D2" t="s">
        <v>1075</v>
      </c>
    </row>
    <row r="3" spans="2:4" x14ac:dyDescent="0.2">
      <c r="B3" t="s">
        <v>1076</v>
      </c>
      <c r="D3" t="s">
        <v>1077</v>
      </c>
    </row>
    <row r="4" spans="2:4" x14ac:dyDescent="0.2">
      <c r="B4" t="s">
        <v>1078</v>
      </c>
      <c r="D4" t="s">
        <v>1079</v>
      </c>
    </row>
    <row r="5" spans="2:4" x14ac:dyDescent="0.2">
      <c r="B5" t="s">
        <v>623</v>
      </c>
      <c r="D5" t="s">
        <v>1080</v>
      </c>
    </row>
    <row r="6" spans="2:4" x14ac:dyDescent="0.2">
      <c r="B6" t="s">
        <v>1081</v>
      </c>
      <c r="C6" t="s">
        <v>1082</v>
      </c>
      <c r="D6" t="s">
        <v>1083</v>
      </c>
    </row>
    <row r="7" spans="2:4" x14ac:dyDescent="0.2">
      <c r="B7" t="s">
        <v>607</v>
      </c>
      <c r="D7" t="s">
        <v>1084</v>
      </c>
    </row>
    <row r="8" spans="2:4" x14ac:dyDescent="0.2">
      <c r="B8" t="s">
        <v>1085</v>
      </c>
      <c r="D8" t="s">
        <v>1086</v>
      </c>
    </row>
    <row r="9" spans="2:4" x14ac:dyDescent="0.2">
      <c r="B9" t="s">
        <v>1087</v>
      </c>
      <c r="D9" t="s">
        <v>1088</v>
      </c>
    </row>
    <row r="10" spans="2:4" x14ac:dyDescent="0.2">
      <c r="B10" t="s">
        <v>1089</v>
      </c>
      <c r="D10" t="s">
        <v>1090</v>
      </c>
    </row>
    <row r="11" spans="2:4" x14ac:dyDescent="0.2">
      <c r="B11" t="s">
        <v>1091</v>
      </c>
      <c r="D11" t="s">
        <v>1092</v>
      </c>
    </row>
    <row r="12" spans="2:4" x14ac:dyDescent="0.2">
      <c r="B12" t="s">
        <v>1093</v>
      </c>
      <c r="D12" t="s">
        <v>1094</v>
      </c>
    </row>
    <row r="13" spans="2:4" x14ac:dyDescent="0.2">
      <c r="B13" t="s">
        <v>1095</v>
      </c>
      <c r="D13" t="s">
        <v>1096</v>
      </c>
    </row>
    <row r="14" spans="2:4" x14ac:dyDescent="0.2">
      <c r="B14" t="s">
        <v>1097</v>
      </c>
      <c r="D14" t="s">
        <v>1098</v>
      </c>
    </row>
    <row r="15" spans="2:4" x14ac:dyDescent="0.2">
      <c r="B15" t="s">
        <v>687</v>
      </c>
      <c r="D15" t="s">
        <v>1099</v>
      </c>
    </row>
    <row r="16" spans="2:4" x14ac:dyDescent="0.2">
      <c r="B16" t="s">
        <v>1100</v>
      </c>
      <c r="D16" t="s">
        <v>1101</v>
      </c>
    </row>
    <row r="17" spans="2:4" x14ac:dyDescent="0.2">
      <c r="B17" t="s">
        <v>1102</v>
      </c>
      <c r="C17" t="s">
        <v>408</v>
      </c>
      <c r="D17" t="s">
        <v>1103</v>
      </c>
    </row>
    <row r="18" spans="2:4" x14ac:dyDescent="0.2">
      <c r="B18" t="s">
        <v>1104</v>
      </c>
      <c r="C18" t="s">
        <v>1105</v>
      </c>
      <c r="D18" t="s">
        <v>1106</v>
      </c>
    </row>
    <row r="19" spans="2:4" x14ac:dyDescent="0.2">
      <c r="B19" t="s">
        <v>598</v>
      </c>
      <c r="D19" t="s">
        <v>1107</v>
      </c>
    </row>
    <row r="20" spans="2:4" x14ac:dyDescent="0.2">
      <c r="B20" t="s">
        <v>1108</v>
      </c>
      <c r="C20" t="s">
        <v>1109</v>
      </c>
      <c r="D20" t="s">
        <v>1110</v>
      </c>
    </row>
    <row r="21" spans="2:4" x14ac:dyDescent="0.2">
      <c r="B21" t="s">
        <v>1111</v>
      </c>
      <c r="C21" t="s">
        <v>616</v>
      </c>
      <c r="D21" t="s">
        <v>1112</v>
      </c>
    </row>
    <row r="22" spans="2:4" x14ac:dyDescent="0.2">
      <c r="B22" t="s">
        <v>1113</v>
      </c>
      <c r="D22" t="s">
        <v>1114</v>
      </c>
    </row>
    <row r="23" spans="2:4" x14ac:dyDescent="0.2">
      <c r="B23" t="s">
        <v>1115</v>
      </c>
      <c r="C23" t="s">
        <v>1116</v>
      </c>
      <c r="D23" t="s">
        <v>1117</v>
      </c>
    </row>
    <row r="24" spans="2:4" x14ac:dyDescent="0.2">
      <c r="B24" t="s">
        <v>1118</v>
      </c>
      <c r="C24" t="s">
        <v>1119</v>
      </c>
      <c r="D24" t="s">
        <v>1120</v>
      </c>
    </row>
    <row r="25" spans="2:4" x14ac:dyDescent="0.2">
      <c r="B25" t="s">
        <v>1121</v>
      </c>
      <c r="C25" t="s">
        <v>1122</v>
      </c>
      <c r="D25" t="s">
        <v>1123</v>
      </c>
    </row>
    <row r="26" spans="2:4" x14ac:dyDescent="0.2">
      <c r="B26" t="s">
        <v>1124</v>
      </c>
      <c r="D26" t="s">
        <v>1125</v>
      </c>
    </row>
    <row r="27" spans="2:4" x14ac:dyDescent="0.2">
      <c r="B27" t="s">
        <v>1126</v>
      </c>
      <c r="D27" t="s">
        <v>1127</v>
      </c>
    </row>
    <row r="28" spans="2:4" x14ac:dyDescent="0.2">
      <c r="B28" t="s">
        <v>294</v>
      </c>
      <c r="D28" t="s">
        <v>1128</v>
      </c>
    </row>
    <row r="29" spans="2:4" x14ac:dyDescent="0.2">
      <c r="B29" t="s">
        <v>1129</v>
      </c>
      <c r="C29" t="s">
        <v>1067</v>
      </c>
      <c r="D29" t="s">
        <v>1130</v>
      </c>
    </row>
    <row r="30" spans="2:4" x14ac:dyDescent="0.2">
      <c r="B30" t="s">
        <v>1131</v>
      </c>
      <c r="C30" t="s">
        <v>1132</v>
      </c>
      <c r="D30" t="s">
        <v>1133</v>
      </c>
    </row>
    <row r="31" spans="2:4" x14ac:dyDescent="0.2">
      <c r="B31" t="s">
        <v>1134</v>
      </c>
      <c r="D31" t="s">
        <v>1135</v>
      </c>
    </row>
    <row r="32" spans="2:4" x14ac:dyDescent="0.2">
      <c r="B32" t="s">
        <v>630</v>
      </c>
      <c r="D32" t="s">
        <v>1136</v>
      </c>
    </row>
    <row r="33" spans="2:4" x14ac:dyDescent="0.2">
      <c r="B33" t="s">
        <v>1137</v>
      </c>
      <c r="C33" t="s">
        <v>1138</v>
      </c>
      <c r="D33" t="s">
        <v>1139</v>
      </c>
    </row>
    <row r="34" spans="2:4" x14ac:dyDescent="0.2">
      <c r="B34" t="s">
        <v>1068</v>
      </c>
      <c r="D34" t="s">
        <v>1140</v>
      </c>
    </row>
    <row r="35" spans="2:4" x14ac:dyDescent="0.2">
      <c r="B35" t="s">
        <v>1141</v>
      </c>
      <c r="C35" t="s">
        <v>1142</v>
      </c>
      <c r="D35" t="s">
        <v>1143</v>
      </c>
    </row>
    <row r="36" spans="2:4" x14ac:dyDescent="0.2">
      <c r="B36" t="s">
        <v>1144</v>
      </c>
      <c r="D36" t="s">
        <v>1145</v>
      </c>
    </row>
    <row r="37" spans="2:4" x14ac:dyDescent="0.2">
      <c r="B37" t="s">
        <v>615</v>
      </c>
      <c r="D37" t="s">
        <v>1146</v>
      </c>
    </row>
    <row r="38" spans="2:4" x14ac:dyDescent="0.2">
      <c r="B38" t="s">
        <v>639</v>
      </c>
      <c r="D38" t="s">
        <v>1147</v>
      </c>
    </row>
    <row r="39" spans="2:4" x14ac:dyDescent="0.2">
      <c r="B39" t="s">
        <v>1148</v>
      </c>
      <c r="D39" t="s">
        <v>1149</v>
      </c>
    </row>
    <row r="40" spans="2:4" x14ac:dyDescent="0.2">
      <c r="B40" t="s">
        <v>1150</v>
      </c>
      <c r="C40" t="s">
        <v>1151</v>
      </c>
      <c r="D40" t="s">
        <v>1152</v>
      </c>
    </row>
    <row r="41" spans="2:4" x14ac:dyDescent="0.2">
      <c r="B41" t="s">
        <v>1153</v>
      </c>
      <c r="D41" t="s">
        <v>1154</v>
      </c>
    </row>
    <row r="42" spans="2:4" x14ac:dyDescent="0.2">
      <c r="B42" t="s">
        <v>1155</v>
      </c>
      <c r="C42" t="s">
        <v>1050</v>
      </c>
      <c r="D42" t="s">
        <v>1156</v>
      </c>
    </row>
    <row r="43" spans="2:4" x14ac:dyDescent="0.2">
      <c r="B43" t="s">
        <v>1157</v>
      </c>
      <c r="D43" t="s">
        <v>1158</v>
      </c>
    </row>
    <row r="44" spans="2:4" x14ac:dyDescent="0.2">
      <c r="B44" t="s">
        <v>1159</v>
      </c>
      <c r="C44" t="s">
        <v>1160</v>
      </c>
      <c r="D44" t="s">
        <v>1161</v>
      </c>
    </row>
  </sheetData>
  <autoFilter ref="B1:D44" xr:uid="{2F01E565-C60B-F140-8258-1FA14F1AB89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B032-24D6-48AC-B307-B6FAA2A28D54}">
  <dimension ref="A1:I23"/>
  <sheetViews>
    <sheetView zoomScale="181" workbookViewId="0">
      <selection activeCell="C25" sqref="C25"/>
    </sheetView>
  </sheetViews>
  <sheetFormatPr baseColWidth="10" defaultColWidth="11.5" defaultRowHeight="15" x14ac:dyDescent="0.2"/>
  <cols>
    <col min="1" max="1" width="18.1640625" customWidth="1"/>
    <col min="2" max="2" width="30.5" customWidth="1"/>
    <col min="3" max="3" width="36.5" customWidth="1"/>
    <col min="4" max="6" width="30.5" customWidth="1"/>
    <col min="7" max="7" width="38.5" customWidth="1"/>
    <col min="8" max="8" width="46.5" customWidth="1"/>
    <col min="9" max="9" width="32.83203125" customWidth="1"/>
  </cols>
  <sheetData>
    <row r="1" spans="1:9" x14ac:dyDescent="0.2">
      <c r="A1" s="60" t="s">
        <v>1162</v>
      </c>
      <c r="B1" s="60" t="s">
        <v>1163</v>
      </c>
      <c r="C1" s="60" t="s">
        <v>1164</v>
      </c>
      <c r="D1" s="60" t="s">
        <v>1165</v>
      </c>
      <c r="E1" s="66" t="s">
        <v>1166</v>
      </c>
      <c r="F1" s="65" t="s">
        <v>1167</v>
      </c>
      <c r="G1" s="65" t="s">
        <v>1168</v>
      </c>
      <c r="H1" s="65" t="s">
        <v>1169</v>
      </c>
      <c r="I1" s="65" t="s">
        <v>1170</v>
      </c>
    </row>
    <row r="2" spans="1:9" ht="32" x14ac:dyDescent="0.2">
      <c r="A2" s="60" t="s">
        <v>1171</v>
      </c>
      <c r="B2" s="18" t="s">
        <v>1172</v>
      </c>
      <c r="C2" s="18"/>
      <c r="D2" s="18"/>
      <c r="E2" s="67"/>
      <c r="F2" s="72" t="s">
        <v>1173</v>
      </c>
      <c r="G2" s="70" t="s">
        <v>1174</v>
      </c>
      <c r="H2" s="70" t="s">
        <v>1175</v>
      </c>
      <c r="I2" s="70" t="s">
        <v>1176</v>
      </c>
    </row>
    <row r="3" spans="1:9" ht="48" x14ac:dyDescent="0.2">
      <c r="A3" s="60" t="s">
        <v>1177</v>
      </c>
      <c r="B3" s="18" t="s">
        <v>1178</v>
      </c>
      <c r="C3" s="18" t="s">
        <v>1179</v>
      </c>
      <c r="D3" s="18"/>
      <c r="E3" s="67"/>
      <c r="F3" s="68" t="s">
        <v>1180</v>
      </c>
      <c r="G3" s="71" t="s">
        <v>1174</v>
      </c>
      <c r="H3" s="71" t="s">
        <v>1175</v>
      </c>
      <c r="I3" s="71" t="s">
        <v>1176</v>
      </c>
    </row>
    <row r="4" spans="1:9" ht="16" x14ac:dyDescent="0.2">
      <c r="A4" s="60" t="s">
        <v>1181</v>
      </c>
      <c r="B4" s="59" t="s">
        <v>1182</v>
      </c>
      <c r="C4" s="18"/>
      <c r="D4" s="18"/>
      <c r="E4" s="18"/>
    </row>
    <row r="5" spans="1:9" x14ac:dyDescent="0.2">
      <c r="A5" s="60" t="s">
        <v>1183</v>
      </c>
      <c r="B5" s="18"/>
      <c r="C5" s="18"/>
      <c r="D5" s="18"/>
      <c r="E5" s="18"/>
    </row>
    <row r="6" spans="1:9" ht="112" x14ac:dyDescent="0.2">
      <c r="A6" s="60" t="s">
        <v>1184</v>
      </c>
      <c r="B6" s="18" t="s">
        <v>1185</v>
      </c>
      <c r="C6" s="59" t="s">
        <v>1186</v>
      </c>
      <c r="D6" s="18"/>
      <c r="E6" s="18"/>
    </row>
    <row r="7" spans="1:9" ht="32" x14ac:dyDescent="0.2">
      <c r="A7" s="60" t="s">
        <v>1187</v>
      </c>
      <c r="B7" s="18" t="s">
        <v>1188</v>
      </c>
      <c r="C7" s="18" t="s">
        <v>1189</v>
      </c>
      <c r="D7" s="59" t="s">
        <v>1190</v>
      </c>
      <c r="E7" s="18"/>
    </row>
    <row r="9" spans="1:9" x14ac:dyDescent="0.2">
      <c r="A9" s="56" t="s">
        <v>1191</v>
      </c>
      <c r="B9" s="57">
        <v>45873</v>
      </c>
      <c r="C9" s="57">
        <v>45874</v>
      </c>
      <c r="D9" s="57">
        <v>45875</v>
      </c>
      <c r="E9" s="57">
        <v>45876</v>
      </c>
      <c r="F9" s="57">
        <v>45877</v>
      </c>
    </row>
    <row r="10" spans="1:9" ht="96" x14ac:dyDescent="0.2">
      <c r="A10" s="54" t="s">
        <v>293</v>
      </c>
      <c r="B10" s="18" t="s">
        <v>1192</v>
      </c>
      <c r="C10" s="18" t="s">
        <v>1193</v>
      </c>
      <c r="D10" s="18" t="s">
        <v>1194</v>
      </c>
      <c r="E10" s="14"/>
      <c r="F10" s="14"/>
    </row>
    <row r="11" spans="1:9" ht="48" x14ac:dyDescent="0.2">
      <c r="A11" s="54" t="s">
        <v>290</v>
      </c>
      <c r="B11" s="18" t="s">
        <v>1195</v>
      </c>
      <c r="C11" s="14" t="s">
        <v>1196</v>
      </c>
      <c r="D11" s="14"/>
      <c r="E11" s="14"/>
      <c r="F11" s="14"/>
    </row>
    <row r="12" spans="1:9" x14ac:dyDescent="0.2">
      <c r="A12" s="54" t="s">
        <v>1181</v>
      </c>
      <c r="B12" s="58" t="s">
        <v>1182</v>
      </c>
      <c r="C12" s="14"/>
      <c r="D12" s="14"/>
      <c r="E12" s="14"/>
      <c r="F12" s="14"/>
    </row>
    <row r="13" spans="1:9" x14ac:dyDescent="0.2">
      <c r="A13" s="54" t="s">
        <v>1197</v>
      </c>
      <c r="B13" s="14"/>
      <c r="C13" s="14"/>
      <c r="D13" s="14"/>
      <c r="E13" s="14"/>
      <c r="F13" s="14"/>
    </row>
    <row r="14" spans="1:9" ht="96" x14ac:dyDescent="0.2">
      <c r="A14" s="55" t="s">
        <v>1198</v>
      </c>
      <c r="B14" s="18" t="s">
        <v>1199</v>
      </c>
      <c r="C14" s="14" t="s">
        <v>1200</v>
      </c>
      <c r="D14" s="14"/>
      <c r="E14" s="18" t="s">
        <v>1201</v>
      </c>
      <c r="F14" s="58" t="s">
        <v>1202</v>
      </c>
    </row>
    <row r="15" spans="1:9" ht="48" x14ac:dyDescent="0.2">
      <c r="A15" s="54" t="s">
        <v>1187</v>
      </c>
      <c r="B15" s="14" t="s">
        <v>1203</v>
      </c>
      <c r="C15" s="18" t="s">
        <v>1204</v>
      </c>
      <c r="D15" s="18" t="s">
        <v>1205</v>
      </c>
      <c r="E15" s="18" t="s">
        <v>1206</v>
      </c>
      <c r="F15" s="18" t="s">
        <v>1207</v>
      </c>
    </row>
    <row r="17" spans="2:3" x14ac:dyDescent="0.2">
      <c r="B17" s="69" t="s">
        <v>1208</v>
      </c>
      <c r="C17" s="69" t="s">
        <v>1209</v>
      </c>
    </row>
    <row r="18" spans="2:3" x14ac:dyDescent="0.2">
      <c r="B18" s="2" t="s">
        <v>1210</v>
      </c>
      <c r="C18" s="2" t="s">
        <v>1211</v>
      </c>
    </row>
    <row r="19" spans="2:3" x14ac:dyDescent="0.2">
      <c r="B19" s="3">
        <v>45877</v>
      </c>
      <c r="C19" s="2" t="s">
        <v>1212</v>
      </c>
    </row>
    <row r="20" spans="2:3" x14ac:dyDescent="0.2">
      <c r="B20" s="3">
        <v>45877</v>
      </c>
      <c r="C20" s="2" t="s">
        <v>1213</v>
      </c>
    </row>
    <row r="21" spans="2:3" x14ac:dyDescent="0.2">
      <c r="B21" s="3">
        <v>45881</v>
      </c>
      <c r="C21" s="2" t="s">
        <v>1214</v>
      </c>
    </row>
    <row r="22" spans="2:3" x14ac:dyDescent="0.2">
      <c r="B22" s="3">
        <v>45883</v>
      </c>
      <c r="C22" s="2" t="s">
        <v>1215</v>
      </c>
    </row>
    <row r="23" spans="2:3" x14ac:dyDescent="0.2">
      <c r="B23" s="3">
        <v>45884</v>
      </c>
      <c r="C23" s="2" t="s">
        <v>1216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3B6A1-EF83-4657-93C7-DDB05851E2F5}">
  <dimension ref="A1:B20"/>
  <sheetViews>
    <sheetView zoomScale="170" zoomScaleNormal="170" workbookViewId="0">
      <selection activeCell="A3" sqref="A3"/>
    </sheetView>
  </sheetViews>
  <sheetFormatPr baseColWidth="10" defaultColWidth="8.83203125" defaultRowHeight="15" x14ac:dyDescent="0.2"/>
  <cols>
    <col min="1" max="1" width="47.5" customWidth="1"/>
    <col min="2" max="2" width="37.5" bestFit="1" customWidth="1"/>
  </cols>
  <sheetData>
    <row r="1" spans="1:2" x14ac:dyDescent="0.2">
      <c r="A1" s="30" t="s">
        <v>1217</v>
      </c>
      <c r="B1" s="30" t="s">
        <v>1218</v>
      </c>
    </row>
    <row r="2" spans="1:2" x14ac:dyDescent="0.2">
      <c r="A2" s="27" t="s">
        <v>1219</v>
      </c>
      <c r="B2" s="27" t="s">
        <v>1220</v>
      </c>
    </row>
    <row r="3" spans="1:2" x14ac:dyDescent="0.2">
      <c r="A3" s="27" t="s">
        <v>1221</v>
      </c>
      <c r="B3" s="28" t="s">
        <v>1222</v>
      </c>
    </row>
    <row r="4" spans="1:2" x14ac:dyDescent="0.2">
      <c r="A4" s="27" t="s">
        <v>1223</v>
      </c>
      <c r="B4" s="27" t="s">
        <v>1222</v>
      </c>
    </row>
    <row r="5" spans="1:2" x14ac:dyDescent="0.2">
      <c r="A5" s="27" t="s">
        <v>1224</v>
      </c>
      <c r="B5" s="27" t="s">
        <v>1222</v>
      </c>
    </row>
    <row r="6" spans="1:2" x14ac:dyDescent="0.2">
      <c r="A6" s="27" t="s">
        <v>1225</v>
      </c>
      <c r="B6" s="27" t="s">
        <v>1226</v>
      </c>
    </row>
    <row r="7" spans="1:2" x14ac:dyDescent="0.2">
      <c r="A7" s="27" t="s">
        <v>1227</v>
      </c>
      <c r="B7" s="27" t="s">
        <v>1222</v>
      </c>
    </row>
    <row r="8" spans="1:2" x14ac:dyDescent="0.2">
      <c r="A8" s="27" t="s">
        <v>1228</v>
      </c>
      <c r="B8" s="27" t="s">
        <v>1222</v>
      </c>
    </row>
    <row r="9" spans="1:2" x14ac:dyDescent="0.2">
      <c r="A9" s="27" t="s">
        <v>1229</v>
      </c>
      <c r="B9" s="29" t="s">
        <v>1230</v>
      </c>
    </row>
    <row r="10" spans="1:2" x14ac:dyDescent="0.2">
      <c r="A10" s="27" t="s">
        <v>1231</v>
      </c>
      <c r="B10" s="29" t="s">
        <v>1230</v>
      </c>
    </row>
    <row r="11" spans="1:2" x14ac:dyDescent="0.2">
      <c r="A11" s="27" t="s">
        <v>1232</v>
      </c>
      <c r="B11" s="27" t="s">
        <v>1222</v>
      </c>
    </row>
    <row r="12" spans="1:2" ht="48" x14ac:dyDescent="0.2">
      <c r="A12" s="27" t="s">
        <v>1233</v>
      </c>
      <c r="B12" s="31" t="s">
        <v>1234</v>
      </c>
    </row>
    <row r="13" spans="1:2" x14ac:dyDescent="0.2">
      <c r="A13" s="27" t="s">
        <v>1235</v>
      </c>
      <c r="B13" s="27" t="s">
        <v>1222</v>
      </c>
    </row>
    <row r="14" spans="1:2" x14ac:dyDescent="0.2">
      <c r="A14" s="27" t="s">
        <v>1236</v>
      </c>
      <c r="B14" s="1" t="s">
        <v>1222</v>
      </c>
    </row>
    <row r="15" spans="1:2" x14ac:dyDescent="0.2">
      <c r="A15" s="27" t="s">
        <v>1237</v>
      </c>
      <c r="B15" s="1" t="s">
        <v>1222</v>
      </c>
    </row>
    <row r="16" spans="1:2" x14ac:dyDescent="0.2">
      <c r="A16" s="27" t="s">
        <v>1238</v>
      </c>
      <c r="B16" s="1" t="s">
        <v>1222</v>
      </c>
    </row>
    <row r="17" spans="1:2" x14ac:dyDescent="0.2">
      <c r="A17" s="27" t="s">
        <v>1239</v>
      </c>
      <c r="B17" s="1" t="s">
        <v>1222</v>
      </c>
    </row>
    <row r="18" spans="1:2" x14ac:dyDescent="0.2">
      <c r="A18" s="27" t="s">
        <v>1240</v>
      </c>
      <c r="B18" s="1" t="s">
        <v>1222</v>
      </c>
    </row>
    <row r="19" spans="1:2" x14ac:dyDescent="0.2">
      <c r="A19" s="27" t="s">
        <v>1241</v>
      </c>
      <c r="B19" s="1" t="s">
        <v>1222</v>
      </c>
    </row>
    <row r="20" spans="1:2" x14ac:dyDescent="0.2">
      <c r="A20" s="27" t="s">
        <v>1242</v>
      </c>
      <c r="B20" s="1" t="s">
        <v>1222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8554-EB5D-40B5-B0CF-105E9674EE22}">
  <dimension ref="A1:Q36"/>
  <sheetViews>
    <sheetView workbookViewId="0"/>
  </sheetViews>
  <sheetFormatPr baseColWidth="10" defaultColWidth="11.5" defaultRowHeight="15" x14ac:dyDescent="0.2"/>
  <cols>
    <col min="1" max="1" width="5.1640625" style="8" customWidth="1"/>
    <col min="2" max="2" width="14.1640625" customWidth="1"/>
    <col min="3" max="3" width="25.5" customWidth="1"/>
    <col min="4" max="4" width="43.5" customWidth="1"/>
  </cols>
  <sheetData>
    <row r="1" spans="1:4" x14ac:dyDescent="0.2">
      <c r="A1" s="36" t="s">
        <v>61</v>
      </c>
      <c r="B1" s="36" t="s">
        <v>1243</v>
      </c>
      <c r="C1" s="36" t="s">
        <v>719</v>
      </c>
      <c r="D1" s="36" t="s">
        <v>1244</v>
      </c>
    </row>
    <row r="2" spans="1:4" x14ac:dyDescent="0.2">
      <c r="A2" s="2">
        <v>1</v>
      </c>
      <c r="B2" s="1" t="s">
        <v>1245</v>
      </c>
      <c r="C2" s="1" t="s">
        <v>1246</v>
      </c>
      <c r="D2" s="1" t="s">
        <v>1247</v>
      </c>
    </row>
    <row r="3" spans="1:4" x14ac:dyDescent="0.2">
      <c r="A3" s="2">
        <v>2</v>
      </c>
      <c r="B3" s="1" t="s">
        <v>1245</v>
      </c>
      <c r="C3" s="1" t="s">
        <v>1248</v>
      </c>
      <c r="D3" s="1" t="s">
        <v>1247</v>
      </c>
    </row>
    <row r="4" spans="1:4" x14ac:dyDescent="0.2">
      <c r="A4" s="2"/>
      <c r="B4" s="1"/>
      <c r="C4" s="1"/>
      <c r="D4" s="1"/>
    </row>
    <row r="36" spans="17:17" x14ac:dyDescent="0.2">
      <c r="Q36" t="s">
        <v>1249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1326-CC3D-4007-897F-6340AB96CFAE}">
  <dimension ref="A1:J71"/>
  <sheetViews>
    <sheetView zoomScale="130" zoomScaleNormal="130" workbookViewId="0">
      <selection activeCell="C55" sqref="C55"/>
    </sheetView>
  </sheetViews>
  <sheetFormatPr baseColWidth="10" defaultColWidth="11.5" defaultRowHeight="15" x14ac:dyDescent="0.2"/>
  <cols>
    <col min="1" max="1" width="39.5" customWidth="1"/>
    <col min="2" max="2" width="48.83203125" customWidth="1"/>
    <col min="3" max="3" width="39.5" customWidth="1"/>
    <col min="4" max="4" width="16.5" customWidth="1"/>
    <col min="5" max="5" width="21.83203125" customWidth="1"/>
    <col min="7" max="7" width="28.1640625" customWidth="1"/>
  </cols>
  <sheetData>
    <row r="1" spans="1:7" x14ac:dyDescent="0.2">
      <c r="A1" t="s">
        <v>1250</v>
      </c>
      <c r="G1" t="s">
        <v>1251</v>
      </c>
    </row>
    <row r="2" spans="1:7" x14ac:dyDescent="0.2">
      <c r="B2" t="s">
        <v>1252</v>
      </c>
    </row>
    <row r="3" spans="1:7" x14ac:dyDescent="0.2">
      <c r="C3" t="s">
        <v>1253</v>
      </c>
      <c r="G3" t="s">
        <v>1254</v>
      </c>
    </row>
    <row r="4" spans="1:7" x14ac:dyDescent="0.2">
      <c r="B4" t="s">
        <v>1255</v>
      </c>
    </row>
    <row r="5" spans="1:7" x14ac:dyDescent="0.2">
      <c r="C5" t="s">
        <v>1253</v>
      </c>
      <c r="G5" t="s">
        <v>1254</v>
      </c>
    </row>
    <row r="6" spans="1:7" x14ac:dyDescent="0.2">
      <c r="B6" t="s">
        <v>1256</v>
      </c>
    </row>
    <row r="7" spans="1:7" x14ac:dyDescent="0.2">
      <c r="C7" t="s">
        <v>1257</v>
      </c>
      <c r="G7" t="s">
        <v>1258</v>
      </c>
    </row>
    <row r="8" spans="1:7" x14ac:dyDescent="0.2">
      <c r="C8" t="s">
        <v>1259</v>
      </c>
    </row>
    <row r="9" spans="1:7" x14ac:dyDescent="0.2">
      <c r="C9" t="s">
        <v>1253</v>
      </c>
    </row>
    <row r="10" spans="1:7" x14ac:dyDescent="0.2">
      <c r="C10" t="s">
        <v>1260</v>
      </c>
      <c r="G10" t="s">
        <v>1261</v>
      </c>
    </row>
    <row r="11" spans="1:7" x14ac:dyDescent="0.2">
      <c r="B11" t="s">
        <v>1262</v>
      </c>
    </row>
    <row r="12" spans="1:7" x14ac:dyDescent="0.2">
      <c r="A12" t="s">
        <v>1263</v>
      </c>
    </row>
    <row r="13" spans="1:7" x14ac:dyDescent="0.2">
      <c r="B13" t="s">
        <v>1264</v>
      </c>
    </row>
    <row r="14" spans="1:7" x14ac:dyDescent="0.2">
      <c r="C14" t="s">
        <v>1265</v>
      </c>
      <c r="G14" t="s">
        <v>1266</v>
      </c>
    </row>
    <row r="15" spans="1:7" x14ac:dyDescent="0.2">
      <c r="C15" t="s">
        <v>1267</v>
      </c>
    </row>
    <row r="16" spans="1:7" x14ac:dyDescent="0.2">
      <c r="C16" t="s">
        <v>1248</v>
      </c>
    </row>
    <row r="17" spans="1:7" x14ac:dyDescent="0.2">
      <c r="B17" t="s">
        <v>1268</v>
      </c>
    </row>
    <row r="18" spans="1:7" x14ac:dyDescent="0.2">
      <c r="C18" t="s">
        <v>1269</v>
      </c>
    </row>
    <row r="19" spans="1:7" x14ac:dyDescent="0.2">
      <c r="C19" t="s">
        <v>1270</v>
      </c>
      <c r="G19" t="s">
        <v>1271</v>
      </c>
    </row>
    <row r="20" spans="1:7" x14ac:dyDescent="0.2">
      <c r="B20" t="s">
        <v>1272</v>
      </c>
    </row>
    <row r="21" spans="1:7" x14ac:dyDescent="0.2">
      <c r="B21" t="s">
        <v>1273</v>
      </c>
    </row>
    <row r="22" spans="1:7" x14ac:dyDescent="0.2">
      <c r="A22" t="s">
        <v>1274</v>
      </c>
    </row>
    <row r="23" spans="1:7" x14ac:dyDescent="0.2">
      <c r="B23" t="s">
        <v>1275</v>
      </c>
      <c r="D23" t="s">
        <v>1276</v>
      </c>
    </row>
    <row r="24" spans="1:7" x14ac:dyDescent="0.2">
      <c r="C24" t="s">
        <v>1277</v>
      </c>
      <c r="G24" t="s">
        <v>1278</v>
      </c>
    </row>
    <row r="25" spans="1:7" x14ac:dyDescent="0.2">
      <c r="B25" t="s">
        <v>1279</v>
      </c>
    </row>
    <row r="26" spans="1:7" x14ac:dyDescent="0.2">
      <c r="C26" t="s">
        <v>1280</v>
      </c>
      <c r="G26" t="s">
        <v>1278</v>
      </c>
    </row>
    <row r="27" spans="1:7" x14ac:dyDescent="0.2">
      <c r="C27" t="s">
        <v>1281</v>
      </c>
      <c r="G27" t="s">
        <v>1278</v>
      </c>
    </row>
    <row r="28" spans="1:7" x14ac:dyDescent="0.2">
      <c r="B28" t="s">
        <v>1282</v>
      </c>
      <c r="G28" t="s">
        <v>1278</v>
      </c>
    </row>
    <row r="29" spans="1:7" x14ac:dyDescent="0.2">
      <c r="B29" t="s">
        <v>1283</v>
      </c>
      <c r="G29" t="s">
        <v>1284</v>
      </c>
    </row>
    <row r="30" spans="1:7" x14ac:dyDescent="0.2">
      <c r="A30" t="s">
        <v>1285</v>
      </c>
    </row>
    <row r="31" spans="1:7" x14ac:dyDescent="0.2">
      <c r="C31" t="s">
        <v>1286</v>
      </c>
      <c r="D31" t="s">
        <v>1287</v>
      </c>
    </row>
    <row r="32" spans="1:7" x14ac:dyDescent="0.2">
      <c r="B32" t="s">
        <v>1288</v>
      </c>
      <c r="C32" s="91" t="s">
        <v>49</v>
      </c>
      <c r="D32" t="s">
        <v>125</v>
      </c>
    </row>
    <row r="33" spans="1:10" x14ac:dyDescent="0.2">
      <c r="B33" t="s">
        <v>1289</v>
      </c>
      <c r="C33" t="s">
        <v>125</v>
      </c>
      <c r="D33" t="s">
        <v>125</v>
      </c>
      <c r="E33" s="89" t="s">
        <v>1290</v>
      </c>
    </row>
    <row r="34" spans="1:10" x14ac:dyDescent="0.2">
      <c r="B34" t="s">
        <v>1291</v>
      </c>
      <c r="C34" t="s">
        <v>125</v>
      </c>
      <c r="D34" t="s">
        <v>125</v>
      </c>
    </row>
    <row r="35" spans="1:10" x14ac:dyDescent="0.2">
      <c r="B35" t="s">
        <v>1292</v>
      </c>
      <c r="C35" t="s">
        <v>125</v>
      </c>
      <c r="D35" t="s">
        <v>125</v>
      </c>
    </row>
    <row r="36" spans="1:10" x14ac:dyDescent="0.2">
      <c r="A36" t="s">
        <v>1293</v>
      </c>
    </row>
    <row r="37" spans="1:10" x14ac:dyDescent="0.2">
      <c r="C37" t="s">
        <v>1142</v>
      </c>
      <c r="D37" t="s">
        <v>1119</v>
      </c>
      <c r="E37" t="s">
        <v>1294</v>
      </c>
    </row>
    <row r="38" spans="1:10" x14ac:dyDescent="0.2">
      <c r="B38" t="s">
        <v>5</v>
      </c>
    </row>
    <row r="39" spans="1:10" x14ac:dyDescent="0.2">
      <c r="B39" t="s">
        <v>1295</v>
      </c>
      <c r="G39" t="s">
        <v>1296</v>
      </c>
    </row>
    <row r="40" spans="1:10" x14ac:dyDescent="0.2">
      <c r="B40" t="s">
        <v>1297</v>
      </c>
      <c r="G40" t="s">
        <v>1298</v>
      </c>
    </row>
    <row r="41" spans="1:10" x14ac:dyDescent="0.2">
      <c r="A41" t="s">
        <v>1299</v>
      </c>
    </row>
    <row r="42" spans="1:10" x14ac:dyDescent="0.2">
      <c r="B42" t="s">
        <v>1300</v>
      </c>
    </row>
    <row r="43" spans="1:10" x14ac:dyDescent="0.2">
      <c r="B43" t="s">
        <v>1301</v>
      </c>
      <c r="G43" t="s">
        <v>1302</v>
      </c>
    </row>
    <row r="44" spans="1:10" x14ac:dyDescent="0.2">
      <c r="A44" t="s">
        <v>1303</v>
      </c>
    </row>
    <row r="45" spans="1:10" x14ac:dyDescent="0.2">
      <c r="B45" t="s">
        <v>1304</v>
      </c>
    </row>
    <row r="46" spans="1:10" x14ac:dyDescent="0.2">
      <c r="B46" t="s">
        <v>1305</v>
      </c>
    </row>
    <row r="47" spans="1:10" x14ac:dyDescent="0.2">
      <c r="A47" t="s">
        <v>1306</v>
      </c>
    </row>
    <row r="48" spans="1:10" x14ac:dyDescent="0.2">
      <c r="B48" t="s">
        <v>1307</v>
      </c>
      <c r="D48" t="s">
        <v>1308</v>
      </c>
      <c r="F48" s="92"/>
      <c r="G48" s="63"/>
      <c r="H48" s="92"/>
      <c r="I48" s="93"/>
      <c r="J48" s="63"/>
    </row>
    <row r="49" spans="2:5" ht="160" x14ac:dyDescent="0.2">
      <c r="D49" t="s">
        <v>1309</v>
      </c>
      <c r="E49" s="52" t="s">
        <v>1310</v>
      </c>
    </row>
    <row r="50" spans="2:5" x14ac:dyDescent="0.2">
      <c r="C50" s="89" t="s">
        <v>1311</v>
      </c>
    </row>
    <row r="51" spans="2:5" x14ac:dyDescent="0.2">
      <c r="C51" t="s">
        <v>1142</v>
      </c>
    </row>
    <row r="52" spans="2:5" x14ac:dyDescent="0.2">
      <c r="C52" t="s">
        <v>1312</v>
      </c>
    </row>
    <row r="53" spans="2:5" x14ac:dyDescent="0.2">
      <c r="C53" t="s">
        <v>1119</v>
      </c>
    </row>
    <row r="54" spans="2:5" x14ac:dyDescent="0.2">
      <c r="C54" t="s">
        <v>1294</v>
      </c>
    </row>
    <row r="55" spans="2:5" x14ac:dyDescent="0.2">
      <c r="B55" t="s">
        <v>1313</v>
      </c>
    </row>
    <row r="56" spans="2:5" x14ac:dyDescent="0.2">
      <c r="C56" t="s">
        <v>1314</v>
      </c>
    </row>
    <row r="57" spans="2:5" x14ac:dyDescent="0.2">
      <c r="C57" t="s">
        <v>1315</v>
      </c>
    </row>
    <row r="58" spans="2:5" x14ac:dyDescent="0.2">
      <c r="C58" t="s">
        <v>1316</v>
      </c>
    </row>
    <row r="59" spans="2:5" x14ac:dyDescent="0.2">
      <c r="C59" t="s">
        <v>1317</v>
      </c>
    </row>
    <row r="60" spans="2:5" x14ac:dyDescent="0.2">
      <c r="B60" t="s">
        <v>1318</v>
      </c>
    </row>
    <row r="61" spans="2:5" x14ac:dyDescent="0.2">
      <c r="D61" t="s">
        <v>1319</v>
      </c>
      <c r="E61" t="s">
        <v>1320</v>
      </c>
    </row>
    <row r="62" spans="2:5" x14ac:dyDescent="0.2">
      <c r="C62" t="s">
        <v>1321</v>
      </c>
    </row>
    <row r="63" spans="2:5" x14ac:dyDescent="0.2">
      <c r="C63" t="s">
        <v>1322</v>
      </c>
    </row>
    <row r="64" spans="2:5" x14ac:dyDescent="0.2">
      <c r="B64" t="s">
        <v>1323</v>
      </c>
    </row>
    <row r="65" spans="1:7" x14ac:dyDescent="0.2">
      <c r="C65" t="s">
        <v>1324</v>
      </c>
    </row>
    <row r="66" spans="1:7" x14ac:dyDescent="0.2">
      <c r="A66" t="s">
        <v>1325</v>
      </c>
    </row>
    <row r="67" spans="1:7" ht="64" x14ac:dyDescent="0.2">
      <c r="B67" t="s">
        <v>1326</v>
      </c>
      <c r="G67" s="52" t="s">
        <v>1327</v>
      </c>
    </row>
    <row r="68" spans="1:7" x14ac:dyDescent="0.2">
      <c r="A68" t="s">
        <v>1328</v>
      </c>
    </row>
    <row r="70" spans="1:7" x14ac:dyDescent="0.2">
      <c r="A70" t="s">
        <v>1329</v>
      </c>
    </row>
    <row r="71" spans="1:7" x14ac:dyDescent="0.2">
      <c r="B71" t="s">
        <v>1330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E63454768EBA44BE9EAE922123C4F0" ma:contentTypeVersion="14" ma:contentTypeDescription="Create a new document." ma:contentTypeScope="" ma:versionID="9f87f8925f77a7191d0e1e06c42a5264">
  <xsd:schema xmlns:xsd="http://www.w3.org/2001/XMLSchema" xmlns:xs="http://www.w3.org/2001/XMLSchema" xmlns:p="http://schemas.microsoft.com/office/2006/metadata/properties" xmlns:ns2="d51b98a4-6d64-44ce-8653-73a49f8b2dce" xmlns:ns3="c68c31a1-c5d0-4c00-bd3a-ef80b365f6d4" targetNamespace="http://schemas.microsoft.com/office/2006/metadata/properties" ma:root="true" ma:fieldsID="687cb6b597e7591e50227b1c04cd3f2f" ns2:_="" ns3:_="">
    <xsd:import namespace="d51b98a4-6d64-44ce-8653-73a49f8b2dce"/>
    <xsd:import namespace="c68c31a1-c5d0-4c00-bd3a-ef80b365f6d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b98a4-6d64-44ce-8653-73a49f8b2d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039845-d277-466e-a9af-ee1ca770c93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c31a1-c5d0-4c00-bd3a-ef80b365f6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04aa80-aa4d-4440-9bef-88a09c6138d1}" ma:internalName="TaxCatchAll" ma:showField="CatchAllData" ma:web="c68c31a1-c5d0-4c00-bd3a-ef80b365f6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68c31a1-c5d0-4c00-bd3a-ef80b365f6d4" xsi:nil="true"/>
    <lcf76f155ced4ddcb4097134ff3c332f xmlns="d51b98a4-6d64-44ce-8653-73a49f8b2dc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0A9A2B-615D-4F4A-8224-5D134FD1DB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1b98a4-6d64-44ce-8653-73a49f8b2dce"/>
    <ds:schemaRef ds:uri="c68c31a1-c5d0-4c00-bd3a-ef80b365f6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6922BA-FB91-4D8C-ADB8-AAFC13B295E0}">
  <ds:schemaRefs>
    <ds:schemaRef ds:uri="http://schemas.microsoft.com/sharepoint/v3/contenttype/forms"/>
  </ds:schemaRefs>
</ds:datastoreItem>
</file>

<file path=customXml/itemProps3.xml><?xml version="1.0" encoding="utf-8"?>
<ds:datastoreItem xmlns:ds="http://schemas.openxmlformats.org/officeDocument/2006/customXml" ds:itemID="{84D065C9-15CD-4A77-9A38-653547C585A0}">
  <ds:schemaRefs>
    <ds:schemaRef ds:uri="http://schemas.microsoft.com/office/2006/metadata/properties"/>
    <ds:schemaRef ds:uri="http://schemas.microsoft.com/office/2006/documentManagement/types"/>
    <ds:schemaRef ds:uri="d51b98a4-6d64-44ce-8653-73a49f8b2dce"/>
    <ds:schemaRef ds:uri="http://www.w3.org/XML/1998/namespace"/>
    <ds:schemaRef ds:uri="http://schemas.microsoft.com/office/infopath/2007/PartnerControls"/>
    <ds:schemaRef ds:uri="http://purl.org/dc/dcmitype/"/>
    <ds:schemaRef ds:uri="http://purl.org/dc/elements/1.1/"/>
    <ds:schemaRef ds:uri="http://schemas.openxmlformats.org/package/2006/metadata/core-properties"/>
    <ds:schemaRef ds:uri="c68c31a1-c5d0-4c00-bd3a-ef80b365f6d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HK Project List-27 Nov (New)</vt:lpstr>
      <vt:lpstr>Inflight Project</vt:lpstr>
      <vt:lpstr>(old)HK Project List-9 Oct(R2)</vt:lpstr>
      <vt:lpstr>(old)HK Project List - 27 Nov</vt:lpstr>
      <vt:lpstr>(old)HK Project List-22Sep</vt:lpstr>
      <vt:lpstr>CHG</vt:lpstr>
      <vt:lpstr>HK Project List - 24 Sep</vt:lpstr>
      <vt:lpstr>Change Request - In Queue</vt:lpstr>
      <vt:lpstr>User Access Request</vt:lpstr>
      <vt:lpstr>HK Project by AliCloud Services</vt:lpstr>
      <vt:lpstr>Ali Cloud Service</vt:lpstr>
      <vt:lpstr>Followup</vt:lpstr>
      <vt:lpstr>Firewall</vt:lpstr>
      <vt:lpstr>THR(OLD)</vt:lpstr>
      <vt:lpstr>THR</vt:lpstr>
      <vt:lpstr>AliCloud_Azure_mapping</vt:lpstr>
      <vt:lpstr>Agile</vt:lpstr>
      <vt:lpstr>GCR_Global Standard</vt:lpstr>
      <vt:lpstr>BAU</vt:lpstr>
      <vt:lpstr>IRA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Dennis Mak</dc:creator>
  <cp:keywords/>
  <dc:description/>
  <cp:lastModifiedBy>Vin Lu （卢瑞）</cp:lastModifiedBy>
  <cp:revision/>
  <dcterms:created xsi:type="dcterms:W3CDTF">2025-07-18T03:28:34Z</dcterms:created>
  <dcterms:modified xsi:type="dcterms:W3CDTF">2026-06-02T08:26:17Z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0x01010058E63454768EBA44BE9EAE922123C4F0</vt:lpwstr>
  </property>
  <property fmtid="{D5CDD505-2E9C-101B-9397-08002B2CF9AE}" pid="3" name="MediaServiceImageTags">
    <vt:lpwstr/>
  </property>
  <property fmtid="{D5CDD505-2E9C-101B-9397-08002B2CF9AE}" pid="4" name="MSIP_Label_5a27cab5-59e6-424d-abbb-227cd06504a3_Enabled">
    <vt:lpwstr>true</vt:lpwstr>
  </property>
  <property fmtid="{D5CDD505-2E9C-101B-9397-08002B2CF9AE}" pid="5" name="MSIP_Label_5a27cab5-59e6-424d-abbb-227cd06504a3_SetDate">
    <vt:lpwstr>2025-10-09T10:31:27Z</vt:lpwstr>
  </property>
  <property fmtid="{D5CDD505-2E9C-101B-9397-08002B2CF9AE}" pid="6" name="MSIP_Label_5a27cab5-59e6-424d-abbb-227cd06504a3_Method">
    <vt:lpwstr>Privileged</vt:lpwstr>
  </property>
  <property fmtid="{D5CDD505-2E9C-101B-9397-08002B2CF9AE}" pid="7" name="MSIP_Label_5a27cab5-59e6-424d-abbb-227cd06504a3_Name">
    <vt:lpwstr>INTERNAL v2</vt:lpwstr>
  </property>
  <property fmtid="{D5CDD505-2E9C-101B-9397-08002B2CF9AE}" pid="8" name="MSIP_Label_5a27cab5-59e6-424d-abbb-227cd06504a3_SiteId">
    <vt:lpwstr>5d3e2773-e07f-4432-a630-1a0f68a28a05</vt:lpwstr>
  </property>
  <property fmtid="{D5CDD505-2E9C-101B-9397-08002B2CF9AE}" pid="9" name="MSIP_Label_5a27cab5-59e6-424d-abbb-227cd06504a3_ActionId">
    <vt:lpwstr>bd320915-64bb-4ef6-9c73-6c0fdd966dfe</vt:lpwstr>
  </property>
  <property fmtid="{D5CDD505-2E9C-101B-9397-08002B2CF9AE}" pid="10" name="MSIP_Label_5a27cab5-59e6-424d-abbb-227cd06504a3_ContentBits">
    <vt:lpwstr>2</vt:lpwstr>
  </property>
  <property fmtid="{D5CDD505-2E9C-101B-9397-08002B2CF9AE}" pid="11" name="MSIP_Label_5a27cab5-59e6-424d-abbb-227cd06504a3_Tag">
    <vt:lpwstr>10, 0, 1, 2</vt:lpwstr>
  </property>
</Properties>
</file>